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arun_s_s_pwc_com/Documents/Documents/PersonalDocs/"/>
    </mc:Choice>
  </mc:AlternateContent>
  <xr:revisionPtr revIDLastSave="24" documentId="11_0466FE06E8D6B401348CF904647C1C9F7614BB77" xr6:coauthVersionLast="47" xr6:coauthVersionMax="47" xr10:uidLastSave="{6D325E29-2F72-4A10-A5DE-8959562A475F}"/>
  <bookViews>
    <workbookView xWindow="-110" yWindow="-110" windowWidth="19420" windowHeight="11500" tabRatio="500" xr2:uid="{00000000-000D-0000-FFFF-FFFF00000000}"/>
  </bookViews>
  <sheets>
    <sheet name="Wealth Projection" sheetId="1" r:id="rId1"/>
    <sheet name="Asset Register" sheetId="2" r:id="rId2"/>
    <sheet name="Category Summary" sheetId="3" r:id="rId3"/>
    <sheet name="Bank Accoun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4" l="1"/>
  <c r="B9" i="3"/>
  <c r="B8" i="3"/>
  <c r="B7" i="3"/>
  <c r="B6" i="3"/>
  <c r="B5" i="3"/>
  <c r="B4" i="3"/>
  <c r="B3" i="3"/>
  <c r="B2" i="3"/>
  <c r="C29" i="2"/>
  <c r="B10" i="3" l="1"/>
</calcChain>
</file>

<file path=xl/sharedStrings.xml><?xml version="1.0" encoding="utf-8"?>
<sst xmlns="http://schemas.openxmlformats.org/spreadsheetml/2006/main" count="149" uniqueCount="116">
  <si>
    <t>Date</t>
  </si>
  <si>
    <t>Sl No</t>
  </si>
  <si>
    <t>Age</t>
  </si>
  <si>
    <t>Initial Amount (₹)</t>
  </si>
  <si>
    <t>Return %</t>
  </si>
  <si>
    <t>Contribution (₹)</t>
  </si>
  <si>
    <t>Withdrawal (₹)</t>
  </si>
  <si>
    <t>End Amount (₹)</t>
  </si>
  <si>
    <t>Annual Gain (₹)</t>
  </si>
  <si>
    <t>Monthly Gain (₹)</t>
  </si>
  <si>
    <t>24/03/2022</t>
  </si>
  <si>
    <t>24/03/2023</t>
  </si>
  <si>
    <t>24/03/2024</t>
  </si>
  <si>
    <t>24/03/2025</t>
  </si>
  <si>
    <t>24/03/2026</t>
  </si>
  <si>
    <t>24/03/2027</t>
  </si>
  <si>
    <t>24/03/2028</t>
  </si>
  <si>
    <t>24/03/2029</t>
  </si>
  <si>
    <t>24/03/2030</t>
  </si>
  <si>
    <t>24/03/2031</t>
  </si>
  <si>
    <t>24/03/2032</t>
  </si>
  <si>
    <t>24/03/2033</t>
  </si>
  <si>
    <t>24/03/2034</t>
  </si>
  <si>
    <t>24/03/2035</t>
  </si>
  <si>
    <t>24/03/2036</t>
  </si>
  <si>
    <t>24/03/2037</t>
  </si>
  <si>
    <t>24/03/2038</t>
  </si>
  <si>
    <t>24/03/2039</t>
  </si>
  <si>
    <t>24/03/2040</t>
  </si>
  <si>
    <t>24/03/2041</t>
  </si>
  <si>
    <t>24/03/2042</t>
  </si>
  <si>
    <t>24/03/2043</t>
  </si>
  <si>
    <t>24/03/2044</t>
  </si>
  <si>
    <t>24/03/2045</t>
  </si>
  <si>
    <t>24/03/2046</t>
  </si>
  <si>
    <t>24/03/2047</t>
  </si>
  <si>
    <t>24/03/2048</t>
  </si>
  <si>
    <t>24/03/2049</t>
  </si>
  <si>
    <t>24/03/2050</t>
  </si>
  <si>
    <t>24/03/2051</t>
  </si>
  <si>
    <t>24/03/2052</t>
  </si>
  <si>
    <t>24/03/2053</t>
  </si>
  <si>
    <t>24/03/2054</t>
  </si>
  <si>
    <t>24/03/2055</t>
  </si>
  <si>
    <t>24/03/2056</t>
  </si>
  <si>
    <t>24/03/2057</t>
  </si>
  <si>
    <t>24/03/2058</t>
  </si>
  <si>
    <t>24/03/2059</t>
  </si>
  <si>
    <t>24/03/2060</t>
  </si>
  <si>
    <t>24/03/2061</t>
  </si>
  <si>
    <t>24/03/2062</t>
  </si>
  <si>
    <t>24/03/2063</t>
  </si>
  <si>
    <t>24/03/2064</t>
  </si>
  <si>
    <t>24/03/2065</t>
  </si>
  <si>
    <t>24/03/2066</t>
  </si>
  <si>
    <t>24/03/2067</t>
  </si>
  <si>
    <t>24/03/2068</t>
  </si>
  <si>
    <t>24/03/2069</t>
  </si>
  <si>
    <t>24/03/2070</t>
  </si>
  <si>
    <t>24/03/2071</t>
  </si>
  <si>
    <t>24/03/2072</t>
  </si>
  <si>
    <t>24/03/2073</t>
  </si>
  <si>
    <t>24/03/2074</t>
  </si>
  <si>
    <t>24/03/2075</t>
  </si>
  <si>
    <t>24/03/2076</t>
  </si>
  <si>
    <t>24/03/2077</t>
  </si>
  <si>
    <t>24/03/2078</t>
  </si>
  <si>
    <t>24/03/2079</t>
  </si>
  <si>
    <t>24/03/2080</t>
  </si>
  <si>
    <t>24/03/2081</t>
  </si>
  <si>
    <t>24/03/2082</t>
  </si>
  <si>
    <t>Category</t>
  </si>
  <si>
    <t>Asset / Account</t>
  </si>
  <si>
    <t>Value (₹)</t>
  </si>
  <si>
    <t>Equity</t>
  </si>
  <si>
    <t>Kavya Zerodha</t>
  </si>
  <si>
    <t>Illumina Shares</t>
  </si>
  <si>
    <t>Arun Coin MF</t>
  </si>
  <si>
    <t>Arun Zer Holdings</t>
  </si>
  <si>
    <t>Accenture Shares</t>
  </si>
  <si>
    <t>Real-estate</t>
  </si>
  <si>
    <t>BEML Site</t>
  </si>
  <si>
    <t>Chikmagalur Site</t>
  </si>
  <si>
    <t>Sumaya Site</t>
  </si>
  <si>
    <t>Hassan Site</t>
  </si>
  <si>
    <t>Mysore Land</t>
  </si>
  <si>
    <t>Chitradurga</t>
  </si>
  <si>
    <t>Chikmagalur Land</t>
  </si>
  <si>
    <t>Cash</t>
  </si>
  <si>
    <t>Arun Acc</t>
  </si>
  <si>
    <t>Arun HUF</t>
  </si>
  <si>
    <t>Kavya Acc</t>
  </si>
  <si>
    <t>Loan Given</t>
  </si>
  <si>
    <t>Sudha</t>
  </si>
  <si>
    <t>Adarsha</t>
  </si>
  <si>
    <t>Loan Taken</t>
  </si>
  <si>
    <t>Mulajji</t>
  </si>
  <si>
    <t>Haalapanna</t>
  </si>
  <si>
    <t>Vishnu</t>
  </si>
  <si>
    <t>Gabri</t>
  </si>
  <si>
    <t>Business Capital</t>
  </si>
  <si>
    <t>Premio Hub</t>
  </si>
  <si>
    <t>Gold</t>
  </si>
  <si>
    <t>Flamingo Site</t>
  </si>
  <si>
    <t>PF</t>
  </si>
  <si>
    <t>TOTAL</t>
  </si>
  <si>
    <t>Total Value (₹)</t>
  </si>
  <si>
    <t>GRAND TOTAL</t>
  </si>
  <si>
    <t>Account</t>
  </si>
  <si>
    <t>Balance (₹)</t>
  </si>
  <si>
    <t>Arun Kotak</t>
  </si>
  <si>
    <t>Arun KBL</t>
  </si>
  <si>
    <t>Kavya Citi</t>
  </si>
  <si>
    <t>Atte Maava</t>
  </si>
  <si>
    <t>Arun Stock</t>
  </si>
  <si>
    <t>Kummi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</si>
</sst>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FF0000"/>
      <name val="Arial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CCCC"/>
        <bgColor rgb="FFEAD1D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FCC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166" fontId="1" fillId="2" borderId="1" xfId="0" applyNumberFormat="1" applyFont="1" applyFill="1" applyBorder="1" applyAlignment="1">
      <alignment horizontal="center"/>
    </xf>
    <xf numFmtId="166" fontId="2" fillId="5" borderId="1" xfId="0" applyNumberFormat="1" applyFont="1" applyFill="1" applyBorder="1" applyAlignment="1">
      <alignment horizontal="right"/>
    </xf>
    <xf numFmtId="166" fontId="2" fillId="6" borderId="1" xfId="0" applyNumberFormat="1" applyFont="1" applyFill="1" applyBorder="1" applyAlignment="1">
      <alignment horizontal="right"/>
    </xf>
    <xf numFmtId="166" fontId="2" fillId="7" borderId="1" xfId="0" applyNumberFormat="1" applyFont="1" applyFill="1" applyBorder="1" applyAlignment="1">
      <alignment horizontal="right"/>
    </xf>
    <xf numFmtId="166" fontId="2" fillId="8" borderId="1" xfId="0" applyNumberFormat="1" applyFont="1" applyFill="1" applyBorder="1" applyAlignment="1">
      <alignment horizontal="right"/>
    </xf>
    <xf numFmtId="166" fontId="2" fillId="9" borderId="1" xfId="0" applyNumberFormat="1" applyFont="1" applyFill="1" applyBorder="1" applyAlignment="1">
      <alignment horizontal="right"/>
    </xf>
    <xf numFmtId="166" fontId="4" fillId="10" borderId="1" xfId="0" applyNumberFormat="1" applyFont="1" applyFill="1" applyBorder="1" applyAlignment="1">
      <alignment horizontal="right"/>
    </xf>
    <xf numFmtId="166" fontId="2" fillId="11" borderId="1" xfId="0" applyNumberFormat="1" applyFont="1" applyFill="1" applyBorder="1" applyAlignment="1">
      <alignment horizontal="right"/>
    </xf>
    <xf numFmtId="166" fontId="2" fillId="1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166" fontId="0" fillId="0" borderId="0" xfId="0" applyNumberFormat="1"/>
    <xf numFmtId="0" fontId="5" fillId="9" borderId="1" xfId="0" applyFont="1" applyFill="1" applyBorder="1"/>
    <xf numFmtId="2" fontId="0" fillId="5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right"/>
    </xf>
    <xf numFmtId="2" fontId="0" fillId="7" borderId="1" xfId="0" applyNumberFormat="1" applyFill="1" applyBorder="1" applyAlignment="1">
      <alignment horizontal="right"/>
    </xf>
    <xf numFmtId="2" fontId="0" fillId="8" borderId="1" xfId="0" applyNumberFormat="1" applyFill="1" applyBorder="1" applyAlignment="1">
      <alignment horizontal="right"/>
    </xf>
    <xf numFmtId="2" fontId="0" fillId="9" borderId="1" xfId="0" applyNumberFormat="1" applyFill="1" applyBorder="1" applyAlignment="1">
      <alignment horizontal="right"/>
    </xf>
    <xf numFmtId="2" fontId="0" fillId="10" borderId="1" xfId="0" applyNumberFormat="1" applyFill="1" applyBorder="1" applyAlignment="1">
      <alignment horizontal="right"/>
    </xf>
    <xf numFmtId="2" fontId="0" fillId="11" borderId="1" xfId="0" applyNumberFormat="1" applyFill="1" applyBorder="1" applyAlignment="1">
      <alignment horizontal="right"/>
    </xf>
    <xf numFmtId="2" fontId="0" fillId="12" borderId="1" xfId="0" applyNumberForma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6E4F0"/>
      <rgbColor rgb="FFFCE4D6"/>
      <rgbColor rgb="FFF2F2F2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ColWidth="8.6328125" defaultRowHeight="14.5" x14ac:dyDescent="0.35"/>
  <cols>
    <col min="1" max="1" width="14" customWidth="1"/>
    <col min="2" max="2" width="7" customWidth="1"/>
    <col min="3" max="3" width="6" customWidth="1"/>
    <col min="4" max="4" width="20" customWidth="1"/>
    <col min="5" max="5" width="10" customWidth="1"/>
    <col min="6" max="6" width="18" customWidth="1"/>
    <col min="7" max="7" width="15" customWidth="1"/>
    <col min="8" max="8" width="22" customWidth="1"/>
    <col min="9" max="9" width="20" customWidth="1"/>
    <col min="10" max="10" width="18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>
        <v>1</v>
      </c>
      <c r="C2" s="2">
        <v>35</v>
      </c>
      <c r="D2" s="3">
        <v>37600000</v>
      </c>
      <c r="E2" s="4">
        <v>1.1299999999999999</v>
      </c>
      <c r="F2" s="3">
        <v>4000000</v>
      </c>
      <c r="G2" s="3">
        <v>0</v>
      </c>
      <c r="H2" s="5">
        <v>42488000</v>
      </c>
      <c r="I2" s="5">
        <v>4888000</v>
      </c>
      <c r="J2" s="5">
        <v>407333.33</v>
      </c>
    </row>
    <row r="3" spans="1:10" x14ac:dyDescent="0.35">
      <c r="A3" s="6" t="s">
        <v>11</v>
      </c>
      <c r="B3" s="6">
        <v>2</v>
      </c>
      <c r="C3" s="6">
        <v>36</v>
      </c>
      <c r="D3" s="7">
        <v>46488000</v>
      </c>
      <c r="E3" s="8">
        <v>1.1299999999999999</v>
      </c>
      <c r="F3" s="7">
        <v>4000000</v>
      </c>
      <c r="G3" s="7">
        <v>0</v>
      </c>
      <c r="H3" s="9">
        <v>52531440</v>
      </c>
      <c r="I3" s="9">
        <v>6043440</v>
      </c>
      <c r="J3" s="9">
        <v>503620</v>
      </c>
    </row>
    <row r="4" spans="1:10" x14ac:dyDescent="0.35">
      <c r="A4" s="2" t="s">
        <v>12</v>
      </c>
      <c r="B4" s="2">
        <v>3</v>
      </c>
      <c r="C4" s="2">
        <v>37</v>
      </c>
      <c r="D4" s="3">
        <v>56531440</v>
      </c>
      <c r="E4" s="4">
        <v>1.1299999999999999</v>
      </c>
      <c r="F4" s="3">
        <v>4000000</v>
      </c>
      <c r="G4" s="3">
        <v>0</v>
      </c>
      <c r="H4" s="5">
        <v>63880527.200000003</v>
      </c>
      <c r="I4" s="5">
        <v>7349087.2000000002</v>
      </c>
      <c r="J4" s="5">
        <v>612423.93000000005</v>
      </c>
    </row>
    <row r="5" spans="1:10" x14ac:dyDescent="0.35">
      <c r="A5" s="6" t="s">
        <v>13</v>
      </c>
      <c r="B5" s="6">
        <v>4</v>
      </c>
      <c r="C5" s="6">
        <v>38</v>
      </c>
      <c r="D5" s="7">
        <v>67880527.200000003</v>
      </c>
      <c r="E5" s="8">
        <v>1.1299999999999999</v>
      </c>
      <c r="F5" s="7">
        <v>4000000</v>
      </c>
      <c r="G5" s="7">
        <v>0</v>
      </c>
      <c r="H5" s="9">
        <v>76704995.739999995</v>
      </c>
      <c r="I5" s="9">
        <v>8824468.5399999991</v>
      </c>
      <c r="J5" s="9">
        <v>735372.38</v>
      </c>
    </row>
    <row r="6" spans="1:10" x14ac:dyDescent="0.35">
      <c r="A6" s="2" t="s">
        <v>14</v>
      </c>
      <c r="B6" s="2">
        <v>5</v>
      </c>
      <c r="C6" s="2">
        <v>39</v>
      </c>
      <c r="D6" s="3">
        <v>80704995.739999995</v>
      </c>
      <c r="E6" s="4">
        <v>1.1299999999999999</v>
      </c>
      <c r="F6" s="3">
        <v>4000000</v>
      </c>
      <c r="G6" s="3">
        <v>0</v>
      </c>
      <c r="H6" s="5">
        <v>91196645.180000007</v>
      </c>
      <c r="I6" s="5">
        <v>10491649.449999999</v>
      </c>
      <c r="J6" s="5">
        <v>874304.12</v>
      </c>
    </row>
    <row r="7" spans="1:10" x14ac:dyDescent="0.35">
      <c r="A7" s="6" t="s">
        <v>15</v>
      </c>
      <c r="B7" s="6">
        <v>6</v>
      </c>
      <c r="C7" s="6">
        <v>40</v>
      </c>
      <c r="D7" s="7">
        <v>95196645.180000007</v>
      </c>
      <c r="E7" s="8">
        <v>1.1299999999999999</v>
      </c>
      <c r="F7" s="7">
        <v>4000000</v>
      </c>
      <c r="G7" s="7">
        <v>0</v>
      </c>
      <c r="H7" s="9">
        <v>107572209.06</v>
      </c>
      <c r="I7" s="9">
        <v>12375563.869999999</v>
      </c>
      <c r="J7" s="9">
        <v>1031296.99</v>
      </c>
    </row>
    <row r="8" spans="1:10" x14ac:dyDescent="0.35">
      <c r="A8" s="2" t="s">
        <v>16</v>
      </c>
      <c r="B8" s="2">
        <v>7</v>
      </c>
      <c r="C8" s="2">
        <v>41</v>
      </c>
      <c r="D8" s="3">
        <v>111572209.06</v>
      </c>
      <c r="E8" s="4">
        <v>1.1299999999999999</v>
      </c>
      <c r="F8" s="3">
        <v>0</v>
      </c>
      <c r="G8" s="3">
        <v>0</v>
      </c>
      <c r="H8" s="5">
        <v>126076596.23</v>
      </c>
      <c r="I8" s="5">
        <v>14504387.18</v>
      </c>
      <c r="J8" s="5">
        <v>1208698.93</v>
      </c>
    </row>
    <row r="9" spans="1:10" x14ac:dyDescent="0.35">
      <c r="A9" s="6" t="s">
        <v>17</v>
      </c>
      <c r="B9" s="6">
        <v>8</v>
      </c>
      <c r="C9" s="6">
        <v>42</v>
      </c>
      <c r="D9" s="7">
        <v>126076596.23</v>
      </c>
      <c r="E9" s="8">
        <v>1.1299999999999999</v>
      </c>
      <c r="F9" s="7">
        <v>0</v>
      </c>
      <c r="G9" s="7">
        <v>0</v>
      </c>
      <c r="H9" s="9">
        <v>142466553.74000001</v>
      </c>
      <c r="I9" s="9">
        <v>16389957.51</v>
      </c>
      <c r="J9" s="9">
        <v>1365829.79</v>
      </c>
    </row>
    <row r="10" spans="1:10" x14ac:dyDescent="0.35">
      <c r="A10" s="2" t="s">
        <v>18</v>
      </c>
      <c r="B10" s="2">
        <v>9</v>
      </c>
      <c r="C10" s="2">
        <v>43</v>
      </c>
      <c r="D10" s="3">
        <v>142466553.74000001</v>
      </c>
      <c r="E10" s="4">
        <v>1.1299999999999999</v>
      </c>
      <c r="F10" s="3">
        <v>0</v>
      </c>
      <c r="G10" s="3">
        <v>0</v>
      </c>
      <c r="H10" s="5">
        <v>160987205.72999999</v>
      </c>
      <c r="I10" s="5">
        <v>18520651.989999998</v>
      </c>
      <c r="J10" s="5">
        <v>1543387.67</v>
      </c>
    </row>
    <row r="11" spans="1:10" x14ac:dyDescent="0.35">
      <c r="A11" s="6" t="s">
        <v>19</v>
      </c>
      <c r="B11" s="6">
        <v>10</v>
      </c>
      <c r="C11" s="6">
        <v>44</v>
      </c>
      <c r="D11" s="7">
        <v>160987205.72999999</v>
      </c>
      <c r="E11" s="8">
        <v>1.1299999999999999</v>
      </c>
      <c r="F11" s="7">
        <v>0</v>
      </c>
      <c r="G11" s="7">
        <v>0</v>
      </c>
      <c r="H11" s="9">
        <v>181915542.47</v>
      </c>
      <c r="I11" s="9">
        <v>20928336.739999998</v>
      </c>
      <c r="J11" s="9">
        <v>1744028.06</v>
      </c>
    </row>
    <row r="12" spans="1:10" x14ac:dyDescent="0.35">
      <c r="A12" s="2" t="s">
        <v>20</v>
      </c>
      <c r="B12" s="2">
        <v>11</v>
      </c>
      <c r="C12" s="2">
        <v>45</v>
      </c>
      <c r="D12" s="3">
        <v>181915542.47</v>
      </c>
      <c r="E12" s="4">
        <v>1.1299999999999999</v>
      </c>
      <c r="F12" s="3">
        <v>0</v>
      </c>
      <c r="G12" s="3">
        <v>0</v>
      </c>
      <c r="H12" s="5">
        <v>205564563</v>
      </c>
      <c r="I12" s="5">
        <v>23649020.52</v>
      </c>
      <c r="J12" s="5">
        <v>1970751.71</v>
      </c>
    </row>
    <row r="13" spans="1:10" x14ac:dyDescent="0.35">
      <c r="A13" s="6" t="s">
        <v>21</v>
      </c>
      <c r="B13" s="6">
        <v>12</v>
      </c>
      <c r="C13" s="6">
        <v>46</v>
      </c>
      <c r="D13" s="7">
        <v>205564563</v>
      </c>
      <c r="E13" s="8">
        <v>1.1299999999999999</v>
      </c>
      <c r="F13" s="7">
        <v>0</v>
      </c>
      <c r="G13" s="7">
        <v>0</v>
      </c>
      <c r="H13" s="9">
        <v>232287956.19</v>
      </c>
      <c r="I13" s="9">
        <v>26723393.190000001</v>
      </c>
      <c r="J13" s="9">
        <v>2226949.4300000002</v>
      </c>
    </row>
    <row r="14" spans="1:10" x14ac:dyDescent="0.35">
      <c r="A14" s="2" t="s">
        <v>22</v>
      </c>
      <c r="B14" s="2">
        <v>13</v>
      </c>
      <c r="C14" s="2">
        <v>47</v>
      </c>
      <c r="D14" s="3">
        <v>232287956.19</v>
      </c>
      <c r="E14" s="4">
        <v>1.1299999999999999</v>
      </c>
      <c r="F14" s="3">
        <v>0</v>
      </c>
      <c r="G14" s="3">
        <v>0</v>
      </c>
      <c r="H14" s="5">
        <v>262485390.49000001</v>
      </c>
      <c r="I14" s="5">
        <v>30197434.300000001</v>
      </c>
      <c r="J14" s="5">
        <v>2516452.86</v>
      </c>
    </row>
    <row r="15" spans="1:10" x14ac:dyDescent="0.35">
      <c r="A15" s="6" t="s">
        <v>23</v>
      </c>
      <c r="B15" s="6">
        <v>14</v>
      </c>
      <c r="C15" s="6">
        <v>48</v>
      </c>
      <c r="D15" s="7">
        <v>262485390.49000001</v>
      </c>
      <c r="E15" s="8">
        <v>1.1299999999999999</v>
      </c>
      <c r="F15" s="7">
        <v>0</v>
      </c>
      <c r="G15" s="7">
        <v>0</v>
      </c>
      <c r="H15" s="9">
        <v>296608491.25</v>
      </c>
      <c r="I15" s="9">
        <v>34123100.759999998</v>
      </c>
      <c r="J15" s="9">
        <v>2843591.73</v>
      </c>
    </row>
    <row r="16" spans="1:10" x14ac:dyDescent="0.35">
      <c r="A16" s="2" t="s">
        <v>24</v>
      </c>
      <c r="B16" s="2">
        <v>15</v>
      </c>
      <c r="C16" s="2">
        <v>49</v>
      </c>
      <c r="D16" s="3">
        <v>296608491.25</v>
      </c>
      <c r="E16" s="4">
        <v>1.1299999999999999</v>
      </c>
      <c r="F16" s="3">
        <v>0</v>
      </c>
      <c r="G16" s="3">
        <v>0</v>
      </c>
      <c r="H16" s="5">
        <v>335167595.12</v>
      </c>
      <c r="I16" s="5">
        <v>38559103.859999999</v>
      </c>
      <c r="J16" s="5">
        <v>3213258.66</v>
      </c>
    </row>
    <row r="17" spans="1:10" x14ac:dyDescent="0.35">
      <c r="A17" s="6" t="s">
        <v>25</v>
      </c>
      <c r="B17" s="6">
        <v>16</v>
      </c>
      <c r="C17" s="6">
        <v>50</v>
      </c>
      <c r="D17" s="7">
        <v>335167595.12</v>
      </c>
      <c r="E17" s="8">
        <v>1.1299999999999999</v>
      </c>
      <c r="F17" s="7">
        <v>0</v>
      </c>
      <c r="G17" s="7">
        <v>0</v>
      </c>
      <c r="H17" s="9">
        <v>378739382.48000002</v>
      </c>
      <c r="I17" s="9">
        <v>43571787.369999997</v>
      </c>
      <c r="J17" s="9">
        <v>3630982.28</v>
      </c>
    </row>
    <row r="18" spans="1:10" x14ac:dyDescent="0.35">
      <c r="A18" s="2" t="s">
        <v>26</v>
      </c>
      <c r="B18" s="2">
        <v>17</v>
      </c>
      <c r="C18" s="2">
        <v>51</v>
      </c>
      <c r="D18" s="3">
        <v>378739382.48000002</v>
      </c>
      <c r="E18" s="4">
        <v>1.1299999999999999</v>
      </c>
      <c r="F18" s="3">
        <v>0</v>
      </c>
      <c r="G18" s="3">
        <v>0</v>
      </c>
      <c r="H18" s="5">
        <v>427975502.19999999</v>
      </c>
      <c r="I18" s="5">
        <v>49236119.719999999</v>
      </c>
      <c r="J18" s="5">
        <v>4103009.98</v>
      </c>
    </row>
    <row r="19" spans="1:10" x14ac:dyDescent="0.35">
      <c r="A19" s="6" t="s">
        <v>27</v>
      </c>
      <c r="B19" s="6">
        <v>18</v>
      </c>
      <c r="C19" s="6">
        <v>52</v>
      </c>
      <c r="D19" s="7">
        <v>427975502.19999999</v>
      </c>
      <c r="E19" s="8">
        <v>1.1299999999999999</v>
      </c>
      <c r="F19" s="7">
        <v>0</v>
      </c>
      <c r="G19" s="7">
        <v>0</v>
      </c>
      <c r="H19" s="9">
        <v>483612317.49000001</v>
      </c>
      <c r="I19" s="9">
        <v>55636815.289999999</v>
      </c>
      <c r="J19" s="9">
        <v>4636401.2699999996</v>
      </c>
    </row>
    <row r="20" spans="1:10" x14ac:dyDescent="0.35">
      <c r="A20" s="2" t="s">
        <v>28</v>
      </c>
      <c r="B20" s="2">
        <v>19</v>
      </c>
      <c r="C20" s="2">
        <v>53</v>
      </c>
      <c r="D20" s="3">
        <v>483612317.49000001</v>
      </c>
      <c r="E20" s="4">
        <v>1.1299999999999999</v>
      </c>
      <c r="F20" s="3">
        <v>0</v>
      </c>
      <c r="G20" s="3">
        <v>0</v>
      </c>
      <c r="H20" s="5">
        <v>546481918.75999999</v>
      </c>
      <c r="I20" s="5">
        <v>62869601.270000003</v>
      </c>
      <c r="J20" s="5">
        <v>5239133.4400000004</v>
      </c>
    </row>
    <row r="21" spans="1:10" x14ac:dyDescent="0.35">
      <c r="A21" s="6" t="s">
        <v>29</v>
      </c>
      <c r="B21" s="6">
        <v>20</v>
      </c>
      <c r="C21" s="6">
        <v>54</v>
      </c>
      <c r="D21" s="7">
        <v>546481918.75999999</v>
      </c>
      <c r="E21" s="8">
        <v>1.1299999999999999</v>
      </c>
      <c r="F21" s="7">
        <v>0</v>
      </c>
      <c r="G21" s="7">
        <v>0</v>
      </c>
      <c r="H21" s="9">
        <v>617524568.20000005</v>
      </c>
      <c r="I21" s="9">
        <v>71042649.439999998</v>
      </c>
      <c r="J21" s="9">
        <v>5920220.79</v>
      </c>
    </row>
    <row r="22" spans="1:10" x14ac:dyDescent="0.35">
      <c r="A22" s="2" t="s">
        <v>30</v>
      </c>
      <c r="B22" s="2">
        <v>21</v>
      </c>
      <c r="C22" s="2">
        <v>55</v>
      </c>
      <c r="D22" s="3">
        <v>617524568.20000005</v>
      </c>
      <c r="E22" s="4">
        <v>1.1299999999999999</v>
      </c>
      <c r="F22" s="3">
        <v>0</v>
      </c>
      <c r="G22" s="3">
        <v>0</v>
      </c>
      <c r="H22" s="5">
        <v>697802762.07000005</v>
      </c>
      <c r="I22" s="5">
        <v>80278193.870000005</v>
      </c>
      <c r="J22" s="5">
        <v>6689849.4900000002</v>
      </c>
    </row>
    <row r="23" spans="1:10" x14ac:dyDescent="0.35">
      <c r="A23" s="6" t="s">
        <v>31</v>
      </c>
      <c r="B23" s="6">
        <v>22</v>
      </c>
      <c r="C23" s="6">
        <v>56</v>
      </c>
      <c r="D23" s="7">
        <v>697802762.07000005</v>
      </c>
      <c r="E23" s="8">
        <v>1.1299999999999999</v>
      </c>
      <c r="F23" s="7">
        <v>0</v>
      </c>
      <c r="G23" s="7">
        <v>0</v>
      </c>
      <c r="H23" s="9">
        <v>788517121.13999999</v>
      </c>
      <c r="I23" s="9">
        <v>90714359.069999993</v>
      </c>
      <c r="J23" s="9">
        <v>7559529.9199999999</v>
      </c>
    </row>
    <row r="24" spans="1:10" x14ac:dyDescent="0.35">
      <c r="A24" s="2" t="s">
        <v>32</v>
      </c>
      <c r="B24" s="2">
        <v>23</v>
      </c>
      <c r="C24" s="2">
        <v>57</v>
      </c>
      <c r="D24" s="3">
        <v>788517121.13999999</v>
      </c>
      <c r="E24" s="4">
        <v>1.1299999999999999</v>
      </c>
      <c r="F24" s="3">
        <v>0</v>
      </c>
      <c r="G24" s="3">
        <v>0</v>
      </c>
      <c r="H24" s="5">
        <v>891024346.88999999</v>
      </c>
      <c r="I24" s="5">
        <v>102507225.75</v>
      </c>
      <c r="J24" s="5">
        <v>8542268.8100000005</v>
      </c>
    </row>
    <row r="25" spans="1:10" x14ac:dyDescent="0.35">
      <c r="A25" s="6" t="s">
        <v>33</v>
      </c>
      <c r="B25" s="6">
        <v>24</v>
      </c>
      <c r="C25" s="6">
        <v>58</v>
      </c>
      <c r="D25" s="7">
        <v>891024346.88999999</v>
      </c>
      <c r="E25" s="8">
        <v>1.1299999999999999</v>
      </c>
      <c r="F25" s="7">
        <v>0</v>
      </c>
      <c r="G25" s="7">
        <v>0</v>
      </c>
      <c r="H25" s="9">
        <v>1006857511.98</v>
      </c>
      <c r="I25" s="9">
        <v>115833165.09999999</v>
      </c>
      <c r="J25" s="9">
        <v>9652763.7599999998</v>
      </c>
    </row>
    <row r="26" spans="1:10" x14ac:dyDescent="0.35">
      <c r="A26" s="2" t="s">
        <v>34</v>
      </c>
      <c r="B26" s="2">
        <v>25</v>
      </c>
      <c r="C26" s="2">
        <v>59</v>
      </c>
      <c r="D26" s="3">
        <v>1006857511.98</v>
      </c>
      <c r="E26" s="4">
        <v>1.1299999999999999</v>
      </c>
      <c r="F26" s="3">
        <v>0</v>
      </c>
      <c r="G26" s="3">
        <v>0</v>
      </c>
      <c r="H26" s="5">
        <v>1137748988.54</v>
      </c>
      <c r="I26" s="5">
        <v>130891476.56</v>
      </c>
      <c r="J26" s="5">
        <v>10907623.050000001</v>
      </c>
    </row>
    <row r="27" spans="1:10" x14ac:dyDescent="0.35">
      <c r="A27" s="6" t="s">
        <v>35</v>
      </c>
      <c r="B27" s="6">
        <v>26</v>
      </c>
      <c r="C27" s="6">
        <v>60</v>
      </c>
      <c r="D27" s="7">
        <v>1137748988.54</v>
      </c>
      <c r="E27" s="8">
        <v>1.1299999999999999</v>
      </c>
      <c r="F27" s="7">
        <v>0</v>
      </c>
      <c r="G27" s="7">
        <v>0</v>
      </c>
      <c r="H27" s="9">
        <v>1285656357.05</v>
      </c>
      <c r="I27" s="9">
        <v>147907368.50999999</v>
      </c>
      <c r="J27" s="9">
        <v>12325614.039999999</v>
      </c>
    </row>
    <row r="28" spans="1:10" x14ac:dyDescent="0.35">
      <c r="A28" s="2" t="s">
        <v>36</v>
      </c>
      <c r="B28" s="2">
        <v>27</v>
      </c>
      <c r="C28" s="2">
        <v>61</v>
      </c>
      <c r="D28" s="3">
        <v>1285656357.05</v>
      </c>
      <c r="E28" s="4">
        <v>1.1299999999999999</v>
      </c>
      <c r="F28" s="3">
        <v>0</v>
      </c>
      <c r="G28" s="3">
        <v>0</v>
      </c>
      <c r="H28" s="5">
        <v>1452791683.46</v>
      </c>
      <c r="I28" s="5">
        <v>167135326.41999999</v>
      </c>
      <c r="J28" s="5">
        <v>13927943.869999999</v>
      </c>
    </row>
    <row r="29" spans="1:10" x14ac:dyDescent="0.35">
      <c r="A29" s="6" t="s">
        <v>37</v>
      </c>
      <c r="B29" s="6">
        <v>28</v>
      </c>
      <c r="C29" s="6">
        <v>62</v>
      </c>
      <c r="D29" s="7">
        <v>1452791683.46</v>
      </c>
      <c r="E29" s="8">
        <v>1.1299999999999999</v>
      </c>
      <c r="F29" s="7">
        <v>0</v>
      </c>
      <c r="G29" s="7">
        <v>0</v>
      </c>
      <c r="H29" s="9">
        <v>1641654602.3099999</v>
      </c>
      <c r="I29" s="9">
        <v>188862918.84999999</v>
      </c>
      <c r="J29" s="9">
        <v>15738576.57</v>
      </c>
    </row>
    <row r="30" spans="1:10" x14ac:dyDescent="0.35">
      <c r="A30" s="2" t="s">
        <v>38</v>
      </c>
      <c r="B30" s="2">
        <v>29</v>
      </c>
      <c r="C30" s="2">
        <v>63</v>
      </c>
      <c r="D30" s="3">
        <v>1641654602.3099999</v>
      </c>
      <c r="E30" s="4">
        <v>1.1299999999999999</v>
      </c>
      <c r="F30" s="3">
        <v>0</v>
      </c>
      <c r="G30" s="3">
        <v>0</v>
      </c>
      <c r="H30" s="5">
        <v>1855069700.6199999</v>
      </c>
      <c r="I30" s="5">
        <v>213415098.30000001</v>
      </c>
      <c r="J30" s="5">
        <v>17784591.530000001</v>
      </c>
    </row>
    <row r="31" spans="1:10" x14ac:dyDescent="0.35">
      <c r="A31" s="6" t="s">
        <v>39</v>
      </c>
      <c r="B31" s="6">
        <v>30</v>
      </c>
      <c r="C31" s="6">
        <v>64</v>
      </c>
      <c r="D31" s="7">
        <v>1855069700.6199999</v>
      </c>
      <c r="E31" s="8">
        <v>1.1299999999999999</v>
      </c>
      <c r="F31" s="7">
        <v>0</v>
      </c>
      <c r="G31" s="7">
        <v>0</v>
      </c>
      <c r="H31" s="9">
        <v>2096228761.7</v>
      </c>
      <c r="I31" s="9">
        <v>241159061.08000001</v>
      </c>
      <c r="J31" s="9">
        <v>20096588.420000002</v>
      </c>
    </row>
    <row r="32" spans="1:10" x14ac:dyDescent="0.35">
      <c r="A32" s="2" t="s">
        <v>40</v>
      </c>
      <c r="B32" s="2">
        <v>31</v>
      </c>
      <c r="C32" s="2">
        <v>65</v>
      </c>
      <c r="D32" s="3">
        <v>2096228761.7</v>
      </c>
      <c r="E32" s="4">
        <v>1.1299999999999999</v>
      </c>
      <c r="F32" s="3">
        <v>0</v>
      </c>
      <c r="G32" s="3">
        <v>0</v>
      </c>
      <c r="H32" s="5">
        <v>2368738500.7199998</v>
      </c>
      <c r="I32" s="5">
        <v>272509739.01999998</v>
      </c>
      <c r="J32" s="5">
        <v>22709144.920000002</v>
      </c>
    </row>
    <row r="33" spans="1:10" x14ac:dyDescent="0.35">
      <c r="A33" s="6" t="s">
        <v>41</v>
      </c>
      <c r="B33" s="6">
        <v>32</v>
      </c>
      <c r="C33" s="6">
        <v>66</v>
      </c>
      <c r="D33" s="7">
        <v>2368738500.7199998</v>
      </c>
      <c r="E33" s="8">
        <v>1.1299999999999999</v>
      </c>
      <c r="F33" s="7">
        <v>0</v>
      </c>
      <c r="G33" s="7">
        <v>0</v>
      </c>
      <c r="H33" s="9">
        <v>2676674505.8099999</v>
      </c>
      <c r="I33" s="9">
        <v>307936005.08999997</v>
      </c>
      <c r="J33" s="9">
        <v>25661333.760000002</v>
      </c>
    </row>
    <row r="34" spans="1:10" x14ac:dyDescent="0.35">
      <c r="A34" s="2" t="s">
        <v>42</v>
      </c>
      <c r="B34" s="2">
        <v>33</v>
      </c>
      <c r="C34" s="2">
        <v>67</v>
      </c>
      <c r="D34" s="3">
        <v>2676674505.8099999</v>
      </c>
      <c r="E34" s="4">
        <v>1.1299999999999999</v>
      </c>
      <c r="F34" s="3">
        <v>0</v>
      </c>
      <c r="G34" s="3">
        <v>0</v>
      </c>
      <c r="H34" s="5">
        <v>3024642191.5599999</v>
      </c>
      <c r="I34" s="5">
        <v>347967685.75999999</v>
      </c>
      <c r="J34" s="5">
        <v>28997307.149999999</v>
      </c>
    </row>
    <row r="35" spans="1:10" x14ac:dyDescent="0.35">
      <c r="A35" s="6" t="s">
        <v>43</v>
      </c>
      <c r="B35" s="6">
        <v>34</v>
      </c>
      <c r="C35" s="6">
        <v>68</v>
      </c>
      <c r="D35" s="7">
        <v>3024642191.5599999</v>
      </c>
      <c r="E35" s="8">
        <v>1.1299999999999999</v>
      </c>
      <c r="F35" s="7">
        <v>0</v>
      </c>
      <c r="G35" s="7">
        <v>0</v>
      </c>
      <c r="H35" s="9">
        <v>3417845676.4699998</v>
      </c>
      <c r="I35" s="9">
        <v>393203484.89999998</v>
      </c>
      <c r="J35" s="9">
        <v>32766957.079999998</v>
      </c>
    </row>
    <row r="36" spans="1:10" x14ac:dyDescent="0.35">
      <c r="A36" s="2" t="s">
        <v>44</v>
      </c>
      <c r="B36" s="2">
        <v>35</v>
      </c>
      <c r="C36" s="2">
        <v>69</v>
      </c>
      <c r="D36" s="3">
        <v>3417845676.4699998</v>
      </c>
      <c r="E36" s="4">
        <v>1.1299999999999999</v>
      </c>
      <c r="F36" s="3">
        <v>0</v>
      </c>
      <c r="G36" s="3">
        <v>0</v>
      </c>
      <c r="H36" s="5">
        <v>3862165614.4099998</v>
      </c>
      <c r="I36" s="5">
        <v>444319937.94</v>
      </c>
      <c r="J36" s="5">
        <v>37026661.5</v>
      </c>
    </row>
    <row r="37" spans="1:10" x14ac:dyDescent="0.35">
      <c r="A37" s="6" t="s">
        <v>45</v>
      </c>
      <c r="B37" s="6">
        <v>36</v>
      </c>
      <c r="C37" s="6">
        <v>70</v>
      </c>
      <c r="D37" s="7">
        <v>3862165614.4099998</v>
      </c>
      <c r="E37" s="8">
        <v>1.1299999999999999</v>
      </c>
      <c r="F37" s="7">
        <v>0</v>
      </c>
      <c r="G37" s="7">
        <v>0</v>
      </c>
      <c r="H37" s="9">
        <v>4364247144.2799997</v>
      </c>
      <c r="I37" s="9">
        <v>502081529.87</v>
      </c>
      <c r="J37" s="9">
        <v>41840127.490000002</v>
      </c>
    </row>
    <row r="38" spans="1:10" x14ac:dyDescent="0.35">
      <c r="A38" s="2" t="s">
        <v>46</v>
      </c>
      <c r="B38" s="2">
        <v>37</v>
      </c>
      <c r="C38" s="2">
        <v>71</v>
      </c>
      <c r="D38" s="3">
        <v>4364247144.2799997</v>
      </c>
      <c r="E38" s="4">
        <v>1.1299999999999999</v>
      </c>
      <c r="F38" s="3">
        <v>0</v>
      </c>
      <c r="G38" s="3">
        <v>0</v>
      </c>
      <c r="H38" s="5">
        <v>4931599273.04</v>
      </c>
      <c r="I38" s="5">
        <v>567352128.75999999</v>
      </c>
      <c r="J38" s="5">
        <v>47279344.060000002</v>
      </c>
    </row>
    <row r="39" spans="1:10" x14ac:dyDescent="0.35">
      <c r="A39" s="6" t="s">
        <v>47</v>
      </c>
      <c r="B39" s="6">
        <v>38</v>
      </c>
      <c r="C39" s="6">
        <v>72</v>
      </c>
      <c r="D39" s="7">
        <v>4931599273.04</v>
      </c>
      <c r="E39" s="8">
        <v>1.1299999999999999</v>
      </c>
      <c r="F39" s="7">
        <v>0</v>
      </c>
      <c r="G39" s="7">
        <v>0</v>
      </c>
      <c r="H39" s="9">
        <v>5572707178.5299997</v>
      </c>
      <c r="I39" s="9">
        <v>641107905.5</v>
      </c>
      <c r="J39" s="9">
        <v>53425658.789999999</v>
      </c>
    </row>
    <row r="40" spans="1:10" x14ac:dyDescent="0.35">
      <c r="A40" s="2" t="s">
        <v>48</v>
      </c>
      <c r="B40" s="2">
        <v>39</v>
      </c>
      <c r="C40" s="2">
        <v>73</v>
      </c>
      <c r="D40" s="3">
        <v>5572707178.5299997</v>
      </c>
      <c r="E40" s="4">
        <v>1.1299999999999999</v>
      </c>
      <c r="F40" s="3">
        <v>0</v>
      </c>
      <c r="G40" s="3">
        <v>0</v>
      </c>
      <c r="H40" s="5">
        <v>6297159111.7399998</v>
      </c>
      <c r="I40" s="5">
        <v>724451933.21000004</v>
      </c>
      <c r="J40" s="5">
        <v>60370994.43</v>
      </c>
    </row>
    <row r="41" spans="1:10" x14ac:dyDescent="0.35">
      <c r="A41" s="6" t="s">
        <v>49</v>
      </c>
      <c r="B41" s="6">
        <v>40</v>
      </c>
      <c r="C41" s="6">
        <v>74</v>
      </c>
      <c r="D41" s="7">
        <v>6297159111.7399998</v>
      </c>
      <c r="E41" s="8">
        <v>1.1299999999999999</v>
      </c>
      <c r="F41" s="7">
        <v>0</v>
      </c>
      <c r="G41" s="7">
        <v>0</v>
      </c>
      <c r="H41" s="9">
        <v>7115789796.2700005</v>
      </c>
      <c r="I41" s="9">
        <v>818630684.52999997</v>
      </c>
      <c r="J41" s="9">
        <v>68219223.709999993</v>
      </c>
    </row>
    <row r="42" spans="1:10" x14ac:dyDescent="0.35">
      <c r="A42" s="2" t="s">
        <v>50</v>
      </c>
      <c r="B42" s="2">
        <v>41</v>
      </c>
      <c r="C42" s="2">
        <v>75</v>
      </c>
      <c r="D42" s="3">
        <v>7115789796.2700005</v>
      </c>
      <c r="E42" s="4">
        <v>1.1299999999999999</v>
      </c>
      <c r="F42" s="3">
        <v>0</v>
      </c>
      <c r="G42" s="3">
        <v>0</v>
      </c>
      <c r="H42" s="5">
        <v>8040842469.79</v>
      </c>
      <c r="I42" s="5">
        <v>925052673.51999998</v>
      </c>
      <c r="J42" s="5">
        <v>77087722.790000007</v>
      </c>
    </row>
    <row r="43" spans="1:10" x14ac:dyDescent="0.35">
      <c r="A43" s="6" t="s">
        <v>51</v>
      </c>
      <c r="B43" s="6">
        <v>42</v>
      </c>
      <c r="C43" s="6">
        <v>76</v>
      </c>
      <c r="D43" s="7">
        <v>8040842469.79</v>
      </c>
      <c r="E43" s="8">
        <v>1.1299999999999999</v>
      </c>
      <c r="F43" s="7">
        <v>0</v>
      </c>
      <c r="G43" s="7">
        <v>0</v>
      </c>
      <c r="H43" s="9">
        <v>9086151990.8600006</v>
      </c>
      <c r="I43" s="9">
        <v>1045309521.0700001</v>
      </c>
      <c r="J43" s="9">
        <v>87109126.760000005</v>
      </c>
    </row>
    <row r="44" spans="1:10" x14ac:dyDescent="0.35">
      <c r="A44" s="2" t="s">
        <v>52</v>
      </c>
      <c r="B44" s="2">
        <v>43</v>
      </c>
      <c r="C44" s="2">
        <v>77</v>
      </c>
      <c r="D44" s="3">
        <v>9086151990.8600006</v>
      </c>
      <c r="E44" s="4">
        <v>1.1299999999999999</v>
      </c>
      <c r="F44" s="3">
        <v>0</v>
      </c>
      <c r="G44" s="3">
        <v>0</v>
      </c>
      <c r="H44" s="5">
        <v>10267351749.67</v>
      </c>
      <c r="I44" s="5">
        <v>1181199758.8099999</v>
      </c>
      <c r="J44" s="5">
        <v>98433313.230000004</v>
      </c>
    </row>
    <row r="45" spans="1:10" x14ac:dyDescent="0.35">
      <c r="A45" s="6" t="s">
        <v>53</v>
      </c>
      <c r="B45" s="6">
        <v>44</v>
      </c>
      <c r="C45" s="6">
        <v>78</v>
      </c>
      <c r="D45" s="7">
        <v>10267351749.67</v>
      </c>
      <c r="E45" s="8">
        <v>1.1299999999999999</v>
      </c>
      <c r="F45" s="7">
        <v>0</v>
      </c>
      <c r="G45" s="7">
        <v>0</v>
      </c>
      <c r="H45" s="9">
        <v>11602107477.129999</v>
      </c>
      <c r="I45" s="9">
        <v>1334755727.46</v>
      </c>
      <c r="J45" s="9">
        <v>111229643.95</v>
      </c>
    </row>
    <row r="46" spans="1:10" x14ac:dyDescent="0.35">
      <c r="A46" s="2" t="s">
        <v>54</v>
      </c>
      <c r="B46" s="2">
        <v>45</v>
      </c>
      <c r="C46" s="2">
        <v>79</v>
      </c>
      <c r="D46" s="3">
        <v>11602107477.129999</v>
      </c>
      <c r="E46" s="4">
        <v>1.1299999999999999</v>
      </c>
      <c r="F46" s="3">
        <v>0</v>
      </c>
      <c r="G46" s="3">
        <v>0</v>
      </c>
      <c r="H46" s="5">
        <v>13110381449.15</v>
      </c>
      <c r="I46" s="5">
        <v>1508273972.03</v>
      </c>
      <c r="J46" s="5">
        <v>125689497.67</v>
      </c>
    </row>
    <row r="47" spans="1:10" x14ac:dyDescent="0.35">
      <c r="A47" s="6" t="s">
        <v>55</v>
      </c>
      <c r="B47" s="6">
        <v>46</v>
      </c>
      <c r="C47" s="6">
        <v>80</v>
      </c>
      <c r="D47" s="7">
        <v>13110381449.15</v>
      </c>
      <c r="E47" s="8">
        <v>1.1299999999999999</v>
      </c>
      <c r="F47" s="7">
        <v>0</v>
      </c>
      <c r="G47" s="7">
        <v>0</v>
      </c>
      <c r="H47" s="9">
        <v>14814731037.540001</v>
      </c>
      <c r="I47" s="9">
        <v>1704349588.3900001</v>
      </c>
      <c r="J47" s="9">
        <v>142029132.37</v>
      </c>
    </row>
    <row r="48" spans="1:10" x14ac:dyDescent="0.35">
      <c r="A48" s="2" t="s">
        <v>56</v>
      </c>
      <c r="B48" s="2">
        <v>47</v>
      </c>
      <c r="C48" s="2">
        <v>81</v>
      </c>
      <c r="D48" s="3">
        <v>14814731037.540001</v>
      </c>
      <c r="E48" s="4">
        <v>1.1299999999999999</v>
      </c>
      <c r="F48" s="3">
        <v>0</v>
      </c>
      <c r="G48" s="3">
        <v>0</v>
      </c>
      <c r="H48" s="5">
        <v>16740646072.42</v>
      </c>
      <c r="I48" s="5">
        <v>1925915034.8800001</v>
      </c>
      <c r="J48" s="5">
        <v>160492919.56999999</v>
      </c>
    </row>
    <row r="49" spans="1:10" x14ac:dyDescent="0.35">
      <c r="A49" s="6" t="s">
        <v>57</v>
      </c>
      <c r="B49" s="6">
        <v>48</v>
      </c>
      <c r="C49" s="6">
        <v>82</v>
      </c>
      <c r="D49" s="7">
        <v>16740646072.42</v>
      </c>
      <c r="E49" s="8">
        <v>1.1299999999999999</v>
      </c>
      <c r="F49" s="7">
        <v>0</v>
      </c>
      <c r="G49" s="7">
        <v>0</v>
      </c>
      <c r="H49" s="9">
        <v>18916930061.84</v>
      </c>
      <c r="I49" s="9">
        <v>2176283989.4099998</v>
      </c>
      <c r="J49" s="9">
        <v>181356999.12</v>
      </c>
    </row>
    <row r="50" spans="1:10" x14ac:dyDescent="0.35">
      <c r="A50" s="2" t="s">
        <v>58</v>
      </c>
      <c r="B50" s="2">
        <v>49</v>
      </c>
      <c r="C50" s="2">
        <v>83</v>
      </c>
      <c r="D50" s="3">
        <v>18916930061.84</v>
      </c>
      <c r="E50" s="4">
        <v>1.1299999999999999</v>
      </c>
      <c r="F50" s="3">
        <v>0</v>
      </c>
      <c r="G50" s="3">
        <v>0</v>
      </c>
      <c r="H50" s="5">
        <v>21376130969.880001</v>
      </c>
      <c r="I50" s="5">
        <v>2459200908.04</v>
      </c>
      <c r="J50" s="5">
        <v>204933409</v>
      </c>
    </row>
    <row r="51" spans="1:10" x14ac:dyDescent="0.35">
      <c r="A51" s="6" t="s">
        <v>59</v>
      </c>
      <c r="B51" s="6">
        <v>50</v>
      </c>
      <c r="C51" s="6">
        <v>84</v>
      </c>
      <c r="D51" s="7">
        <v>21376130969.880001</v>
      </c>
      <c r="E51" s="8">
        <v>1.1299999999999999</v>
      </c>
      <c r="F51" s="7">
        <v>0</v>
      </c>
      <c r="G51" s="7">
        <v>0</v>
      </c>
      <c r="H51" s="9">
        <v>24155027995.959999</v>
      </c>
      <c r="I51" s="9">
        <v>2778897026.0799999</v>
      </c>
      <c r="J51" s="9">
        <v>231574752.16999999</v>
      </c>
    </row>
    <row r="52" spans="1:10" x14ac:dyDescent="0.35">
      <c r="A52" s="2" t="s">
        <v>60</v>
      </c>
      <c r="B52" s="2">
        <v>51</v>
      </c>
      <c r="C52" s="2">
        <v>85</v>
      </c>
      <c r="D52" s="3">
        <v>24155027995.959999</v>
      </c>
      <c r="E52" s="4">
        <v>1.1299999999999999</v>
      </c>
      <c r="F52" s="3">
        <v>0</v>
      </c>
      <c r="G52" s="3">
        <v>0</v>
      </c>
      <c r="H52" s="5">
        <v>27295181635.43</v>
      </c>
      <c r="I52" s="5">
        <v>3140153639.4699998</v>
      </c>
      <c r="J52" s="5">
        <v>261679469.96000001</v>
      </c>
    </row>
    <row r="53" spans="1:10" x14ac:dyDescent="0.35">
      <c r="A53" s="6" t="s">
        <v>61</v>
      </c>
      <c r="B53" s="6">
        <v>52</v>
      </c>
      <c r="C53" s="6">
        <v>86</v>
      </c>
      <c r="D53" s="7">
        <v>27295181635.43</v>
      </c>
      <c r="E53" s="8">
        <v>1.1299999999999999</v>
      </c>
      <c r="F53" s="7">
        <v>0</v>
      </c>
      <c r="G53" s="7">
        <v>0</v>
      </c>
      <c r="H53" s="9">
        <v>30843555248.040001</v>
      </c>
      <c r="I53" s="9">
        <v>3548373612.6100001</v>
      </c>
      <c r="J53" s="9">
        <v>295697801.05000001</v>
      </c>
    </row>
    <row r="54" spans="1:10" x14ac:dyDescent="0.35">
      <c r="A54" s="2" t="s">
        <v>62</v>
      </c>
      <c r="B54" s="2">
        <v>53</v>
      </c>
      <c r="C54" s="2">
        <v>87</v>
      </c>
      <c r="D54" s="3">
        <v>30843555248.040001</v>
      </c>
      <c r="E54" s="4">
        <v>1.1299999999999999</v>
      </c>
      <c r="F54" s="3">
        <v>0</v>
      </c>
      <c r="G54" s="3">
        <v>0</v>
      </c>
      <c r="H54" s="5">
        <v>34853217430.290001</v>
      </c>
      <c r="I54" s="5">
        <v>4009662182.25</v>
      </c>
      <c r="J54" s="5">
        <v>334138515.19</v>
      </c>
    </row>
    <row r="55" spans="1:10" x14ac:dyDescent="0.35">
      <c r="A55" s="6" t="s">
        <v>63</v>
      </c>
      <c r="B55" s="6">
        <v>54</v>
      </c>
      <c r="C55" s="6">
        <v>88</v>
      </c>
      <c r="D55" s="7">
        <v>34853217430.290001</v>
      </c>
      <c r="E55" s="8">
        <v>1.1299999999999999</v>
      </c>
      <c r="F55" s="7">
        <v>0</v>
      </c>
      <c r="G55" s="7">
        <v>0</v>
      </c>
      <c r="H55" s="9">
        <v>39384135696.220001</v>
      </c>
      <c r="I55" s="9">
        <v>4530918265.9399996</v>
      </c>
      <c r="J55" s="9">
        <v>377576522.16000003</v>
      </c>
    </row>
    <row r="56" spans="1:10" x14ac:dyDescent="0.35">
      <c r="A56" s="2" t="s">
        <v>64</v>
      </c>
      <c r="B56" s="2">
        <v>55</v>
      </c>
      <c r="C56" s="2">
        <v>89</v>
      </c>
      <c r="D56" s="3">
        <v>39384135696.220001</v>
      </c>
      <c r="E56" s="4">
        <v>1.1299999999999999</v>
      </c>
      <c r="F56" s="3">
        <v>0</v>
      </c>
      <c r="G56" s="3">
        <v>0</v>
      </c>
      <c r="H56" s="5">
        <v>44504073336.730003</v>
      </c>
      <c r="I56" s="5">
        <v>5119937640.5100002</v>
      </c>
      <c r="J56" s="5">
        <v>426661470.04000002</v>
      </c>
    </row>
    <row r="57" spans="1:10" x14ac:dyDescent="0.35">
      <c r="A57" s="6" t="s">
        <v>65</v>
      </c>
      <c r="B57" s="6">
        <v>56</v>
      </c>
      <c r="C57" s="6">
        <v>90</v>
      </c>
      <c r="D57" s="7">
        <v>44504073336.730003</v>
      </c>
      <c r="E57" s="8">
        <v>1.1299999999999999</v>
      </c>
      <c r="F57" s="7">
        <v>0</v>
      </c>
      <c r="G57" s="7">
        <v>0</v>
      </c>
      <c r="H57" s="9">
        <v>50289602870.510002</v>
      </c>
      <c r="I57" s="9">
        <v>5785529533.7799997</v>
      </c>
      <c r="J57" s="9">
        <v>482127461.14999998</v>
      </c>
    </row>
    <row r="58" spans="1:10" x14ac:dyDescent="0.35">
      <c r="A58" s="2" t="s">
        <v>66</v>
      </c>
      <c r="B58" s="2">
        <v>57</v>
      </c>
      <c r="C58" s="2">
        <v>91</v>
      </c>
      <c r="D58" s="3">
        <v>50289602870.510002</v>
      </c>
      <c r="E58" s="4">
        <v>1.1299999999999999</v>
      </c>
      <c r="F58" s="3">
        <v>0</v>
      </c>
      <c r="G58" s="3">
        <v>0</v>
      </c>
      <c r="H58" s="5">
        <v>56827251243.669998</v>
      </c>
      <c r="I58" s="5">
        <v>6537648373.1700001</v>
      </c>
      <c r="J58" s="5">
        <v>544804031.10000002</v>
      </c>
    </row>
    <row r="59" spans="1:10" x14ac:dyDescent="0.35">
      <c r="A59" s="6" t="s">
        <v>67</v>
      </c>
      <c r="B59" s="6">
        <v>58</v>
      </c>
      <c r="C59" s="6">
        <v>92</v>
      </c>
      <c r="D59" s="7">
        <v>56827251243.669998</v>
      </c>
      <c r="E59" s="8">
        <v>1.1299999999999999</v>
      </c>
      <c r="F59" s="7">
        <v>0</v>
      </c>
      <c r="G59" s="7">
        <v>0</v>
      </c>
      <c r="H59" s="9">
        <v>64214793905.349998</v>
      </c>
      <c r="I59" s="9">
        <v>7387542661.6800003</v>
      </c>
      <c r="J59" s="9">
        <v>615628555.13999999</v>
      </c>
    </row>
    <row r="60" spans="1:10" x14ac:dyDescent="0.35">
      <c r="A60" s="2" t="s">
        <v>68</v>
      </c>
      <c r="B60" s="2">
        <v>59</v>
      </c>
      <c r="C60" s="2">
        <v>93</v>
      </c>
      <c r="D60" s="3">
        <v>64214793905.349998</v>
      </c>
      <c r="E60" s="4">
        <v>1.1299999999999999</v>
      </c>
      <c r="F60" s="3">
        <v>0</v>
      </c>
      <c r="G60" s="3">
        <v>0</v>
      </c>
      <c r="H60" s="5">
        <v>72562717113.050003</v>
      </c>
      <c r="I60" s="5">
        <v>8347923207.6999998</v>
      </c>
      <c r="J60" s="5">
        <v>695660267.30999994</v>
      </c>
    </row>
    <row r="61" spans="1:10" x14ac:dyDescent="0.35">
      <c r="A61" s="6" t="s">
        <v>69</v>
      </c>
      <c r="B61" s="6">
        <v>60</v>
      </c>
      <c r="C61" s="6">
        <v>94</v>
      </c>
      <c r="D61" s="7">
        <v>72562717113.050003</v>
      </c>
      <c r="E61" s="8">
        <v>1.1299999999999999</v>
      </c>
      <c r="F61" s="7">
        <v>0</v>
      </c>
      <c r="G61" s="7">
        <v>0</v>
      </c>
      <c r="H61" s="9">
        <v>81995870337.740005</v>
      </c>
      <c r="I61" s="9">
        <v>9433153224.7000008</v>
      </c>
      <c r="J61" s="9">
        <v>786096102.05999994</v>
      </c>
    </row>
    <row r="62" spans="1:10" x14ac:dyDescent="0.35">
      <c r="A62" s="2" t="s">
        <v>70</v>
      </c>
      <c r="B62" s="2">
        <v>61</v>
      </c>
      <c r="C62" s="2">
        <v>95</v>
      </c>
      <c r="D62" s="3">
        <v>81995870337.740005</v>
      </c>
      <c r="E62" s="4">
        <v>1.1299999999999999</v>
      </c>
      <c r="F62" s="3">
        <v>0</v>
      </c>
      <c r="G62" s="3">
        <v>0</v>
      </c>
      <c r="H62" s="5">
        <v>92655333481.649994</v>
      </c>
      <c r="I62" s="5">
        <v>10659463143.91</v>
      </c>
      <c r="J62" s="5">
        <v>888288595.33000004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zoomScaleNormal="100" workbookViewId="0">
      <selection activeCell="C28" sqref="C2:C28"/>
    </sheetView>
  </sheetViews>
  <sheetFormatPr defaultColWidth="8.6328125" defaultRowHeight="14.5" x14ac:dyDescent="0.35"/>
  <cols>
    <col min="1" max="1" width="20" customWidth="1"/>
    <col min="2" max="2" width="26" customWidth="1"/>
    <col min="3" max="3" width="20" style="32" customWidth="1"/>
  </cols>
  <sheetData>
    <row r="1" spans="1:3" x14ac:dyDescent="0.35">
      <c r="A1" s="10" t="s">
        <v>71</v>
      </c>
      <c r="B1" s="10" t="s">
        <v>72</v>
      </c>
      <c r="C1" s="22" t="s">
        <v>73</v>
      </c>
    </row>
    <row r="2" spans="1:3" x14ac:dyDescent="0.35">
      <c r="A2" s="11" t="s">
        <v>74</v>
      </c>
      <c r="B2" s="11" t="s">
        <v>75</v>
      </c>
      <c r="C2" s="23">
        <v>0</v>
      </c>
    </row>
    <row r="3" spans="1:3" x14ac:dyDescent="0.35">
      <c r="A3" s="11" t="s">
        <v>74</v>
      </c>
      <c r="B3" s="11" t="s">
        <v>76</v>
      </c>
      <c r="C3" s="23">
        <v>500000</v>
      </c>
    </row>
    <row r="4" spans="1:3" x14ac:dyDescent="0.35">
      <c r="A4" s="11" t="s">
        <v>74</v>
      </c>
      <c r="B4" s="11" t="s">
        <v>77</v>
      </c>
      <c r="C4" s="23">
        <v>0</v>
      </c>
    </row>
    <row r="5" spans="1:3" x14ac:dyDescent="0.35">
      <c r="A5" s="11" t="s">
        <v>74</v>
      </c>
      <c r="B5" s="43" t="s">
        <v>78</v>
      </c>
      <c r="C5" s="23">
        <v>0</v>
      </c>
    </row>
    <row r="6" spans="1:3" x14ac:dyDescent="0.35">
      <c r="A6" s="11" t="s">
        <v>74</v>
      </c>
      <c r="B6" s="11" t="s">
        <v>79</v>
      </c>
      <c r="C6" s="23">
        <v>0</v>
      </c>
    </row>
    <row r="7" spans="1:3" x14ac:dyDescent="0.35">
      <c r="A7" s="12" t="s">
        <v>80</v>
      </c>
      <c r="B7" s="12" t="s">
        <v>81</v>
      </c>
      <c r="C7" s="24">
        <v>12000000</v>
      </c>
    </row>
    <row r="8" spans="1:3" x14ac:dyDescent="0.35">
      <c r="A8" s="12" t="s">
        <v>80</v>
      </c>
      <c r="B8" s="12" t="s">
        <v>82</v>
      </c>
      <c r="C8" s="24">
        <v>1500000</v>
      </c>
    </row>
    <row r="9" spans="1:3" x14ac:dyDescent="0.35">
      <c r="A9" s="12" t="s">
        <v>80</v>
      </c>
      <c r="B9" s="12" t="s">
        <v>83</v>
      </c>
      <c r="C9" s="24">
        <v>4800000</v>
      </c>
    </row>
    <row r="10" spans="1:3" x14ac:dyDescent="0.35">
      <c r="A10" s="12" t="s">
        <v>80</v>
      </c>
      <c r="B10" s="12" t="s">
        <v>84</v>
      </c>
      <c r="C10" s="24">
        <v>600000</v>
      </c>
    </row>
    <row r="11" spans="1:3" x14ac:dyDescent="0.35">
      <c r="A11" s="12" t="s">
        <v>80</v>
      </c>
      <c r="B11" s="12" t="s">
        <v>85</v>
      </c>
      <c r="C11" s="24">
        <v>12000000</v>
      </c>
    </row>
    <row r="12" spans="1:3" x14ac:dyDescent="0.35">
      <c r="A12" s="12" t="s">
        <v>80</v>
      </c>
      <c r="B12" s="12" t="s">
        <v>86</v>
      </c>
      <c r="C12" s="24">
        <v>1500000</v>
      </c>
    </row>
    <row r="13" spans="1:3" x14ac:dyDescent="0.35">
      <c r="A13" s="12" t="s">
        <v>80</v>
      </c>
      <c r="B13" s="12" t="s">
        <v>87</v>
      </c>
      <c r="C13" s="24">
        <v>3500000</v>
      </c>
    </row>
    <row r="14" spans="1:3" x14ac:dyDescent="0.35">
      <c r="A14" s="13" t="s">
        <v>88</v>
      </c>
      <c r="B14" s="13" t="s">
        <v>89</v>
      </c>
      <c r="C14" s="25">
        <v>750000</v>
      </c>
    </row>
    <row r="15" spans="1:3" x14ac:dyDescent="0.35">
      <c r="A15" s="13" t="s">
        <v>88</v>
      </c>
      <c r="B15" s="13" t="s">
        <v>90</v>
      </c>
      <c r="C15" s="25">
        <v>2450000</v>
      </c>
    </row>
    <row r="16" spans="1:3" x14ac:dyDescent="0.35">
      <c r="A16" s="13" t="s">
        <v>88</v>
      </c>
      <c r="B16" s="13" t="s">
        <v>91</v>
      </c>
      <c r="C16" s="25">
        <v>2200000</v>
      </c>
    </row>
    <row r="17" spans="1:3" x14ac:dyDescent="0.35">
      <c r="A17" s="15" t="s">
        <v>92</v>
      </c>
      <c r="B17" s="15" t="s">
        <v>93</v>
      </c>
      <c r="C17" s="27">
        <v>50000</v>
      </c>
    </row>
    <row r="18" spans="1:3" x14ac:dyDescent="0.35">
      <c r="A18" s="15" t="s">
        <v>92</v>
      </c>
      <c r="B18" s="33" t="s">
        <v>115</v>
      </c>
      <c r="C18" s="27">
        <v>100000</v>
      </c>
    </row>
    <row r="19" spans="1:3" x14ac:dyDescent="0.35">
      <c r="A19" s="15" t="s">
        <v>92</v>
      </c>
      <c r="B19" s="15" t="s">
        <v>94</v>
      </c>
      <c r="C19" s="27">
        <v>500000</v>
      </c>
    </row>
    <row r="20" spans="1:3" x14ac:dyDescent="0.35">
      <c r="A20" s="16" t="s">
        <v>95</v>
      </c>
      <c r="B20" s="16" t="s">
        <v>85</v>
      </c>
      <c r="C20" s="28">
        <v>-5400000</v>
      </c>
    </row>
    <row r="21" spans="1:3" x14ac:dyDescent="0.35">
      <c r="A21" s="15" t="s">
        <v>92</v>
      </c>
      <c r="B21" s="15" t="s">
        <v>96</v>
      </c>
      <c r="C21" s="27">
        <v>50000</v>
      </c>
    </row>
    <row r="22" spans="1:3" x14ac:dyDescent="0.35">
      <c r="A22" s="15" t="s">
        <v>92</v>
      </c>
      <c r="B22" s="15" t="s">
        <v>97</v>
      </c>
      <c r="C22" s="27">
        <v>50000</v>
      </c>
    </row>
    <row r="23" spans="1:3" x14ac:dyDescent="0.35">
      <c r="A23" s="15" t="s">
        <v>92</v>
      </c>
      <c r="B23" s="15" t="s">
        <v>98</v>
      </c>
      <c r="C23" s="27">
        <v>50000</v>
      </c>
    </row>
    <row r="24" spans="1:3" x14ac:dyDescent="0.35">
      <c r="A24" s="15" t="s">
        <v>92</v>
      </c>
      <c r="B24" s="15" t="s">
        <v>99</v>
      </c>
      <c r="C24" s="27">
        <v>50000</v>
      </c>
    </row>
    <row r="25" spans="1:3" x14ac:dyDescent="0.35">
      <c r="A25" s="14" t="s">
        <v>100</v>
      </c>
      <c r="B25" s="14" t="s">
        <v>101</v>
      </c>
      <c r="C25" s="26">
        <v>8800000</v>
      </c>
    </row>
    <row r="26" spans="1:3" x14ac:dyDescent="0.35">
      <c r="A26" s="17" t="s">
        <v>102</v>
      </c>
      <c r="B26" s="17" t="s">
        <v>102</v>
      </c>
      <c r="C26" s="29">
        <v>7500000</v>
      </c>
    </row>
    <row r="27" spans="1:3" x14ac:dyDescent="0.35">
      <c r="A27" s="12" t="s">
        <v>80</v>
      </c>
      <c r="B27" s="12" t="s">
        <v>103</v>
      </c>
      <c r="C27" s="24">
        <v>3000000</v>
      </c>
    </row>
    <row r="28" spans="1:3" x14ac:dyDescent="0.35">
      <c r="A28" s="18" t="s">
        <v>104</v>
      </c>
      <c r="B28" s="18" t="s">
        <v>104</v>
      </c>
      <c r="C28" s="30">
        <v>5000000</v>
      </c>
    </row>
    <row r="29" spans="1:3" x14ac:dyDescent="0.35">
      <c r="A29" s="19" t="s">
        <v>105</v>
      </c>
      <c r="B29" s="19"/>
      <c r="C29" s="31">
        <f>SUM(C2:C28)</f>
        <v>61550000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>
      <selection activeCell="B7" sqref="B7"/>
    </sheetView>
  </sheetViews>
  <sheetFormatPr defaultColWidth="8.6328125" defaultRowHeight="14.5" x14ac:dyDescent="0.35"/>
  <cols>
    <col min="1" max="2" width="22" customWidth="1"/>
  </cols>
  <sheetData>
    <row r="1" spans="1:2" x14ac:dyDescent="0.35">
      <c r="A1" s="10" t="s">
        <v>71</v>
      </c>
      <c r="B1" s="10" t="s">
        <v>106</v>
      </c>
    </row>
    <row r="2" spans="1:2" x14ac:dyDescent="0.35">
      <c r="A2" s="11" t="s">
        <v>74</v>
      </c>
      <c r="B2" s="34">
        <f>'Asset Register'!C2+'Asset Register'!C3+'Asset Register'!C4+'Asset Register'!C5+'Asset Register'!C6</f>
        <v>500000</v>
      </c>
    </row>
    <row r="3" spans="1:2" x14ac:dyDescent="0.35">
      <c r="A3" s="12" t="s">
        <v>80</v>
      </c>
      <c r="B3" s="35">
        <f>'Asset Register'!C7+'Asset Register'!C8+'Asset Register'!C9+'Asset Register'!C10+'Asset Register'!C11+'Asset Register'!C12+'Asset Register'!C13+'Asset Register'!C27</f>
        <v>38900000</v>
      </c>
    </row>
    <row r="4" spans="1:2" x14ac:dyDescent="0.35">
      <c r="A4" s="13" t="s">
        <v>88</v>
      </c>
      <c r="B4" s="36">
        <f>'Asset Register'!C14+'Asset Register'!C15+'Asset Register'!C16</f>
        <v>5400000</v>
      </c>
    </row>
    <row r="5" spans="1:2" x14ac:dyDescent="0.35">
      <c r="A5" s="14" t="s">
        <v>100</v>
      </c>
      <c r="B5" s="37">
        <f>'Asset Register'!C25</f>
        <v>8800000</v>
      </c>
    </row>
    <row r="6" spans="1:2" x14ac:dyDescent="0.35">
      <c r="A6" s="15" t="s">
        <v>92</v>
      </c>
      <c r="B6" s="38">
        <f>'Asset Register'!C17+'Asset Register'!C18+'Asset Register'!C19+'Asset Register'!C21+'Asset Register'!C22+'Asset Register'!C23+'Asset Register'!C24</f>
        <v>850000</v>
      </c>
    </row>
    <row r="7" spans="1:2" x14ac:dyDescent="0.35">
      <c r="A7" s="16" t="s">
        <v>95</v>
      </c>
      <c r="B7" s="39">
        <f>'Asset Register'!C20</f>
        <v>-5400000</v>
      </c>
    </row>
    <row r="8" spans="1:2" x14ac:dyDescent="0.35">
      <c r="A8" s="17" t="s">
        <v>102</v>
      </c>
      <c r="B8" s="40">
        <f>'Asset Register'!C26</f>
        <v>7500000</v>
      </c>
    </row>
    <row r="9" spans="1:2" x14ac:dyDescent="0.35">
      <c r="A9" s="18" t="s">
        <v>104</v>
      </c>
      <c r="B9" s="41">
        <f>'Asset Register'!C28</f>
        <v>5000000</v>
      </c>
    </row>
    <row r="10" spans="1:2" x14ac:dyDescent="0.35">
      <c r="A10" s="19" t="s">
        <v>107</v>
      </c>
      <c r="B10" s="42">
        <f>SUM(B2:B9)</f>
        <v>61550000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>
      <selection activeCell="B2" sqref="B2"/>
    </sheetView>
  </sheetViews>
  <sheetFormatPr defaultColWidth="8.6328125" defaultRowHeight="14.5" x14ac:dyDescent="0.35"/>
  <cols>
    <col min="1" max="1" width="22" customWidth="1"/>
    <col min="2" max="2" width="18" customWidth="1"/>
  </cols>
  <sheetData>
    <row r="1" spans="1:2" x14ac:dyDescent="0.35">
      <c r="A1" s="10" t="s">
        <v>108</v>
      </c>
      <c r="B1" s="10" t="s">
        <v>109</v>
      </c>
    </row>
    <row r="2" spans="1:2" x14ac:dyDescent="0.35">
      <c r="A2" s="20" t="s">
        <v>110</v>
      </c>
      <c r="B2" s="4">
        <v>8650000</v>
      </c>
    </row>
    <row r="3" spans="1:2" x14ac:dyDescent="0.35">
      <c r="A3" s="21" t="s">
        <v>111</v>
      </c>
      <c r="B3" s="8">
        <v>1250000</v>
      </c>
    </row>
    <row r="4" spans="1:2" x14ac:dyDescent="0.35">
      <c r="A4" s="20" t="s">
        <v>112</v>
      </c>
      <c r="B4" s="4">
        <v>1000000</v>
      </c>
    </row>
    <row r="5" spans="1:2" x14ac:dyDescent="0.35">
      <c r="A5" s="21" t="s">
        <v>113</v>
      </c>
      <c r="B5" s="8">
        <v>600000</v>
      </c>
    </row>
    <row r="6" spans="1:2" x14ac:dyDescent="0.35">
      <c r="A6" s="20" t="s">
        <v>114</v>
      </c>
      <c r="B6" s="4">
        <v>650000</v>
      </c>
    </row>
    <row r="7" spans="1:2" x14ac:dyDescent="0.35">
      <c r="A7" s="21" t="s">
        <v>79</v>
      </c>
      <c r="B7" s="8">
        <v>400000</v>
      </c>
    </row>
    <row r="8" spans="1:2" x14ac:dyDescent="0.35">
      <c r="A8" s="19" t="s">
        <v>105</v>
      </c>
      <c r="B8" s="42">
        <f>SUM(B2:B7)</f>
        <v>12550000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Wealth Projection</vt:lpstr>
      <vt:lpstr>Asset Register</vt:lpstr>
      <vt:lpstr>Category Summary</vt:lpstr>
      <vt:lpstr>Bank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S S (US)</cp:lastModifiedBy>
  <cp:revision>0</cp:revision>
  <dcterms:created xsi:type="dcterms:W3CDTF">2026-03-30T09:31:32Z</dcterms:created>
  <dcterms:modified xsi:type="dcterms:W3CDTF">2026-03-31T17:04:22Z</dcterms:modified>
  <dc:language>en-US</dc:language>
</cp:coreProperties>
</file>
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arun_siddappa_shetty_accenture_com/Documents/Documents/"/>
    </mc:Choice>
  </mc:AlternateContent>
  <xr:revisionPtr revIDLastSave="387" documentId="8_{947DAAF5-40B8-4E8A-BC72-C15D5200025F}" xr6:coauthVersionLast="47" xr6:coauthVersionMax="47" xr10:uidLastSave="{2F7F0080-1E31-4E5D-AC95-7CC5FD09F376}"/>
  <bookViews>
    <workbookView xWindow="-110" yWindow="-110" windowWidth="19420" windowHeight="10300" xr2:uid="{3B50CBB9-6300-4280-B213-FBB4985D2E41}"/>
  </bookViews>
  <sheets>
    <sheet name="Investments" sheetId="1" r:id="rId1"/>
    <sheet name="Expenses" sheetId="2" r:id="rId2"/>
  </sheets>
  <definedNames>
    <definedName name="_xlnm._FilterDatabase" localSheetId="1" hidden="1">Expenses!$A$1:$E$30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C14" i="1" l="1"/>
  <c r="C9" i="1"/>
  <c r="E9" i="1" l="1"/>
  <c r="E14" i="1"/>
  <c r="L14" i="1" l="1"/>
  <c r="F14" i="1"/>
  <c r="H14" i="1" s="1"/>
  <c r="L9" i="1"/>
  <c r="F9" i="1"/>
  <c r="H9" i="1" s="1"/>
</calcChain>
</file>

<file path=xl/sharedStrings.xml><?xml version="1.0" encoding="utf-8"?>
<sst xmlns="http://schemas.openxmlformats.org/spreadsheetml/2006/main" count="201" uniqueCount="85">
  <si>
    <t>Date</t>
  </si>
  <si>
    <t>Name</t>
  </si>
  <si>
    <t>Amount</t>
  </si>
  <si>
    <t>Arun</t>
  </si>
  <si>
    <t>20/05/2025</t>
  </si>
  <si>
    <t>28/05/2025</t>
  </si>
  <si>
    <t>29/05/2025</t>
  </si>
  <si>
    <t>Naveen</t>
  </si>
  <si>
    <t>19/06/2025</t>
  </si>
  <si>
    <t>Total</t>
  </si>
  <si>
    <t>Percentage</t>
  </si>
  <si>
    <t>Expenses</t>
  </si>
  <si>
    <t>Description</t>
  </si>
  <si>
    <t>Category</t>
  </si>
  <si>
    <t>Blanco</t>
  </si>
  <si>
    <t>Unloading in Warehouse</t>
  </si>
  <si>
    <t>Labour</t>
  </si>
  <si>
    <t>Material</t>
  </si>
  <si>
    <t>Wooden Pallet</t>
  </si>
  <si>
    <t>Haique</t>
  </si>
  <si>
    <t>Fabrication</t>
  </si>
  <si>
    <t>Transportation to Bharathwood</t>
  </si>
  <si>
    <t>Sunil Salary</t>
  </si>
  <si>
    <t>Salary</t>
  </si>
  <si>
    <t>Rent</t>
  </si>
  <si>
    <t>Transportation of samples</t>
  </si>
  <si>
    <t>Transportation to Alampatta</t>
  </si>
  <si>
    <t>Transportation</t>
  </si>
  <si>
    <t>Transportation of samples to Dream home</t>
  </si>
  <si>
    <t>Transportaiton of 10 sinks from Hosur to our warehouse</t>
  </si>
  <si>
    <t>Samples to Nagarbhavi and Indranagar</t>
  </si>
  <si>
    <t>Samples to 8th Mile</t>
  </si>
  <si>
    <t>14/6/2025</t>
  </si>
  <si>
    <t>Samples to Jayanagar and Basavanagudi</t>
  </si>
  <si>
    <t>17/6/2025</t>
  </si>
  <si>
    <t>31/5/2025</t>
  </si>
  <si>
    <t>To Chamrajpet and Mysore</t>
  </si>
  <si>
    <t>Maruthi Indiranagar</t>
  </si>
  <si>
    <t>18/6/2025</t>
  </si>
  <si>
    <t>CCTV</t>
  </si>
  <si>
    <t>CCTV Wire</t>
  </si>
  <si>
    <t>Visiting Card</t>
  </si>
  <si>
    <t>20/6/2025</t>
  </si>
  <si>
    <t>Samples to Ullal</t>
  </si>
  <si>
    <t>To Mysore</t>
  </si>
  <si>
    <t>GST on Rent</t>
  </si>
  <si>
    <t>Contribution %</t>
  </si>
  <si>
    <t>Partnership %</t>
  </si>
  <si>
    <t>27/6/2025</t>
  </si>
  <si>
    <t>To Paramanand</t>
  </si>
  <si>
    <t>30/06/2025</t>
  </si>
  <si>
    <t>30/6/2025</t>
  </si>
  <si>
    <t>UPS</t>
  </si>
  <si>
    <t>28/6/2025</t>
  </si>
  <si>
    <t>Email ID - Google workspace</t>
  </si>
  <si>
    <t>Wifi - Airtel</t>
  </si>
  <si>
    <t>Working</t>
  </si>
  <si>
    <t>Actual</t>
  </si>
  <si>
    <t>To Sarjapura Road</t>
  </si>
  <si>
    <t>To Srinath Collective</t>
  </si>
  <si>
    <t>To Saini World</t>
  </si>
  <si>
    <t>Insurance for warehouse</t>
  </si>
  <si>
    <t>Return from Mysore</t>
  </si>
  <si>
    <t>Elegant Furniture</t>
  </si>
  <si>
    <t>Bharath Wood</t>
  </si>
  <si>
    <t>Mahalingeshwara LR</t>
  </si>
  <si>
    <t>Tally Software</t>
  </si>
  <si>
    <t>Saini World</t>
  </si>
  <si>
    <t>Water Tanker</t>
  </si>
  <si>
    <t>Slab Transportation</t>
  </si>
  <si>
    <t>Return from Maruthi Banaswadi</t>
  </si>
  <si>
    <t>Transport of Stand to Mahendra Hardware</t>
  </si>
  <si>
    <t>Towards transportation of Catalouge &amp; chip set to Indiranagar</t>
  </si>
  <si>
    <t>14/7/2025</t>
  </si>
  <si>
    <t>Towards transportation of sink to Srinath collective warehouse</t>
  </si>
  <si>
    <t>15/7/2025</t>
  </si>
  <si>
    <t>Transportation to maruthi emporia &amp; Infantry Road</t>
  </si>
  <si>
    <t>Towards transportation of sink</t>
  </si>
  <si>
    <t>Towards transportation of shade card to Indiranagar</t>
  </si>
  <si>
    <t>17/7/2025</t>
  </si>
  <si>
    <t>Towards transportation to maruthi Vayuputhra sink &amp; Banaswadi interiors sink</t>
  </si>
  <si>
    <t>After giving 7.5% to Sunil</t>
  </si>
  <si>
    <t>Hafele Stock</t>
  </si>
  <si>
    <t>Haique Stock</t>
  </si>
  <si>
    <t>41.5+29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</si>
</sst>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0CDDD-9228-4727-92FC-D1B217C8FCFE}">
  <dimension ref="A1:P15"/>
  <sheetViews>
    <sheetView tabSelected="1" workbookViewId="0">
      <selection activeCell="J11" sqref="J11"/>
    </sheetView>
  </sheetViews>
  <sheetFormatPr defaultRowHeight="14.5" x14ac:dyDescent="0.35"/>
  <cols>
    <col min="4" max="4" width="10.08984375" bestFit="1" customWidth="1"/>
    <col min="5" max="5" width="12.90625" bestFit="1" customWidth="1"/>
    <col min="6" max="6" width="20.54296875" bestFit="1" customWidth="1"/>
    <col min="11" max="11" width="12.08984375" bestFit="1" customWidth="1"/>
    <col min="14" max="14" width="11.453125" bestFit="1" customWidth="1"/>
  </cols>
  <sheetData>
    <row r="1" spans="1:16" x14ac:dyDescent="0.35">
      <c r="A1" t="s">
        <v>0</v>
      </c>
      <c r="B1" t="s">
        <v>1</v>
      </c>
      <c r="C1" t="s">
        <v>2</v>
      </c>
    </row>
    <row r="2" spans="1:16" x14ac:dyDescent="0.35">
      <c r="A2" s="1">
        <v>45873</v>
      </c>
      <c r="B2" t="s">
        <v>3</v>
      </c>
      <c r="C2">
        <v>1050000</v>
      </c>
    </row>
    <row r="3" spans="1:16" x14ac:dyDescent="0.35">
      <c r="A3" t="s">
        <v>4</v>
      </c>
      <c r="B3" t="s">
        <v>3</v>
      </c>
      <c r="C3">
        <v>800000</v>
      </c>
      <c r="N3" t="s">
        <v>82</v>
      </c>
      <c r="O3">
        <v>4903535</v>
      </c>
      <c r="P3" t="s">
        <v>84</v>
      </c>
    </row>
    <row r="4" spans="1:16" x14ac:dyDescent="0.35">
      <c r="A4" t="s">
        <v>5</v>
      </c>
      <c r="B4" t="s">
        <v>3</v>
      </c>
      <c r="C4">
        <v>1000000</v>
      </c>
      <c r="N4" t="s">
        <v>83</v>
      </c>
      <c r="O4">
        <v>1458650</v>
      </c>
    </row>
    <row r="5" spans="1:16" x14ac:dyDescent="0.35">
      <c r="A5" t="s">
        <v>6</v>
      </c>
      <c r="B5" t="s">
        <v>3</v>
      </c>
      <c r="C5">
        <v>1000000</v>
      </c>
    </row>
    <row r="6" spans="1:16" x14ac:dyDescent="0.35">
      <c r="A6" s="1">
        <v>45844</v>
      </c>
      <c r="B6" t="s">
        <v>3</v>
      </c>
      <c r="C6">
        <v>500000</v>
      </c>
    </row>
    <row r="7" spans="1:16" x14ac:dyDescent="0.35">
      <c r="A7" t="s">
        <v>8</v>
      </c>
      <c r="B7" t="s">
        <v>3</v>
      </c>
      <c r="C7">
        <v>500000</v>
      </c>
      <c r="F7" t="s">
        <v>81</v>
      </c>
    </row>
    <row r="8" spans="1:16" x14ac:dyDescent="0.35">
      <c r="A8" t="s">
        <v>50</v>
      </c>
      <c r="B8" t="s">
        <v>3</v>
      </c>
      <c r="C8">
        <v>1100000</v>
      </c>
      <c r="E8" t="s">
        <v>46</v>
      </c>
      <c r="F8" t="s">
        <v>10</v>
      </c>
      <c r="G8" t="s">
        <v>56</v>
      </c>
      <c r="H8" t="s">
        <v>57</v>
      </c>
      <c r="K8" t="s">
        <v>47</v>
      </c>
    </row>
    <row r="9" spans="1:16" x14ac:dyDescent="0.35">
      <c r="B9" t="s">
        <v>9</v>
      </c>
      <c r="C9">
        <f>SUM(C2:C8)</f>
        <v>5950000</v>
      </c>
      <c r="E9" s="2">
        <f>C9/(C9+C14)*100</f>
        <v>70.414201183431956</v>
      </c>
      <c r="F9" s="2">
        <f>92.5*E9/100</f>
        <v>65.133136094674555</v>
      </c>
      <c r="G9" s="2">
        <v>-7.13</v>
      </c>
      <c r="H9" s="2">
        <f>F9+G9</f>
        <v>58.003136094674552</v>
      </c>
      <c r="I9" s="2"/>
      <c r="J9" s="2"/>
      <c r="K9" s="2">
        <v>52.5</v>
      </c>
      <c r="L9" s="2">
        <f>0.925*E9-K9</f>
        <v>12.633136094674569</v>
      </c>
      <c r="M9" s="2"/>
    </row>
    <row r="10" spans="1:16" x14ac:dyDescent="0.35">
      <c r="E10" s="2"/>
      <c r="F10" s="2"/>
      <c r="G10" s="2"/>
      <c r="H10" s="2"/>
      <c r="I10" s="2"/>
      <c r="J10" s="2"/>
      <c r="K10" s="2"/>
      <c r="L10" s="2"/>
      <c r="M10" s="2"/>
    </row>
    <row r="11" spans="1:16" x14ac:dyDescent="0.35">
      <c r="A11" t="s">
        <v>6</v>
      </c>
      <c r="B11" t="s">
        <v>7</v>
      </c>
      <c r="C11">
        <v>1400000</v>
      </c>
      <c r="E11" s="2"/>
      <c r="F11" s="2"/>
      <c r="G11" s="2"/>
      <c r="H11" s="2"/>
      <c r="I11" s="2"/>
      <c r="J11" s="2"/>
      <c r="K11" s="2"/>
      <c r="L11" s="2"/>
      <c r="M11" s="2"/>
    </row>
    <row r="12" spans="1:16" x14ac:dyDescent="0.35">
      <c r="A12" t="s">
        <v>6</v>
      </c>
      <c r="B12" t="s">
        <v>7</v>
      </c>
      <c r="C12">
        <v>500000</v>
      </c>
      <c r="E12" s="2"/>
      <c r="F12" s="2"/>
      <c r="G12" s="2"/>
      <c r="H12" s="2"/>
      <c r="I12" s="2"/>
      <c r="J12" s="2"/>
      <c r="K12" s="2"/>
      <c r="L12" s="2"/>
      <c r="M12" s="2"/>
    </row>
    <row r="13" spans="1:16" x14ac:dyDescent="0.35">
      <c r="A13" t="s">
        <v>50</v>
      </c>
      <c r="B13" t="s">
        <v>7</v>
      </c>
      <c r="C13">
        <v>600000</v>
      </c>
      <c r="E13" s="2"/>
      <c r="F13" s="2"/>
      <c r="G13" s="2"/>
      <c r="H13" s="2"/>
      <c r="I13" s="2"/>
      <c r="J13" s="2"/>
      <c r="K13" s="2"/>
      <c r="L13" s="2"/>
      <c r="M13" s="2"/>
    </row>
    <row r="14" spans="1:16" x14ac:dyDescent="0.35">
      <c r="B14" t="s">
        <v>9</v>
      </c>
      <c r="C14">
        <f>SUM(C11:C13)</f>
        <v>2500000</v>
      </c>
      <c r="E14" s="2">
        <f>C14/(C9+C14)*100</f>
        <v>29.585798816568047</v>
      </c>
      <c r="F14" s="2">
        <f>92.5*E14/100</f>
        <v>27.366863905325445</v>
      </c>
      <c r="G14" s="2">
        <f>G9*-1</f>
        <v>7.13</v>
      </c>
      <c r="H14" s="2">
        <f>F14+G14</f>
        <v>34.496863905325448</v>
      </c>
      <c r="I14" s="2"/>
      <c r="J14" s="2"/>
      <c r="K14" s="2">
        <v>40</v>
      </c>
      <c r="L14" s="2">
        <f>0.925*E14-K14</f>
        <v>-12.633136094674555</v>
      </c>
      <c r="M14" s="2"/>
    </row>
    <row r="15" spans="1:16" x14ac:dyDescent="0.35">
      <c r="E15" s="2"/>
      <c r="F15" s="2"/>
      <c r="G15" s="2"/>
      <c r="H15" s="2"/>
      <c r="I15" s="2"/>
      <c r="J15" s="2"/>
      <c r="K15" s="2"/>
      <c r="L15" s="2"/>
      <c r="M1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1E257-25FD-434D-BFEA-F8C172C54769}">
  <dimension ref="A1:E48"/>
  <sheetViews>
    <sheetView workbookViewId="0">
      <selection activeCell="D51" sqref="D51"/>
    </sheetView>
  </sheetViews>
  <sheetFormatPr defaultRowHeight="14.5" x14ac:dyDescent="0.35"/>
  <cols>
    <col min="1" max="1" width="9.08984375" bestFit="1" customWidth="1"/>
    <col min="3" max="3" width="20.453125" bestFit="1" customWidth="1"/>
    <col min="4" max="4" width="45.7265625" bestFit="1" customWidth="1"/>
  </cols>
  <sheetData>
    <row r="1" spans="1:5" x14ac:dyDescent="0.35">
      <c r="A1" t="s">
        <v>0</v>
      </c>
      <c r="B1" t="s">
        <v>11</v>
      </c>
      <c r="C1" t="s">
        <v>12</v>
      </c>
      <c r="D1" t="s">
        <v>13</v>
      </c>
      <c r="E1" t="s">
        <v>2</v>
      </c>
    </row>
    <row r="2" spans="1:5" x14ac:dyDescent="0.35">
      <c r="A2" t="s">
        <v>35</v>
      </c>
      <c r="B2" t="s">
        <v>14</v>
      </c>
      <c r="C2" t="s">
        <v>15</v>
      </c>
      <c r="D2" t="s">
        <v>16</v>
      </c>
      <c r="E2">
        <v>1000</v>
      </c>
    </row>
    <row r="3" spans="1:5" x14ac:dyDescent="0.35">
      <c r="A3" t="s">
        <v>35</v>
      </c>
      <c r="B3" t="s">
        <v>14</v>
      </c>
      <c r="C3" t="s">
        <v>17</v>
      </c>
      <c r="D3" t="s">
        <v>18</v>
      </c>
      <c r="E3">
        <v>532</v>
      </c>
    </row>
    <row r="4" spans="1:5" x14ac:dyDescent="0.35">
      <c r="A4" s="1">
        <v>45844</v>
      </c>
      <c r="B4" t="s">
        <v>19</v>
      </c>
      <c r="C4" t="s">
        <v>20</v>
      </c>
      <c r="D4" t="s">
        <v>20</v>
      </c>
      <c r="E4">
        <v>3000</v>
      </c>
    </row>
    <row r="5" spans="1:5" x14ac:dyDescent="0.35">
      <c r="A5" s="1">
        <v>45875</v>
      </c>
      <c r="B5" t="s">
        <v>14</v>
      </c>
      <c r="C5" t="s">
        <v>15</v>
      </c>
      <c r="D5" t="s">
        <v>16</v>
      </c>
      <c r="E5">
        <v>300</v>
      </c>
    </row>
    <row r="6" spans="1:5" x14ac:dyDescent="0.35">
      <c r="A6" s="1">
        <v>45906</v>
      </c>
      <c r="B6" t="s">
        <v>14</v>
      </c>
      <c r="C6" t="s">
        <v>27</v>
      </c>
      <c r="D6" t="s">
        <v>21</v>
      </c>
      <c r="E6">
        <v>1106</v>
      </c>
    </row>
    <row r="7" spans="1:5" x14ac:dyDescent="0.35">
      <c r="A7" s="1">
        <v>45936</v>
      </c>
      <c r="B7" t="s">
        <v>19</v>
      </c>
      <c r="C7" t="s">
        <v>23</v>
      </c>
      <c r="D7" t="s">
        <v>22</v>
      </c>
      <c r="E7">
        <v>70000</v>
      </c>
    </row>
    <row r="8" spans="1:5" x14ac:dyDescent="0.35">
      <c r="A8" s="1">
        <v>45936</v>
      </c>
      <c r="B8" t="s">
        <v>19</v>
      </c>
      <c r="C8" t="s">
        <v>24</v>
      </c>
      <c r="D8" t="s">
        <v>24</v>
      </c>
      <c r="E8">
        <v>35000</v>
      </c>
    </row>
    <row r="9" spans="1:5" x14ac:dyDescent="0.35">
      <c r="A9" s="1">
        <v>45936</v>
      </c>
      <c r="B9" t="s">
        <v>19</v>
      </c>
      <c r="C9" t="s">
        <v>27</v>
      </c>
      <c r="D9" t="s">
        <v>25</v>
      </c>
      <c r="E9">
        <v>25000</v>
      </c>
    </row>
    <row r="10" spans="1:5" x14ac:dyDescent="0.35">
      <c r="A10" s="1">
        <v>45936</v>
      </c>
      <c r="B10" t="s">
        <v>19</v>
      </c>
      <c r="C10" t="s">
        <v>27</v>
      </c>
      <c r="D10" t="s">
        <v>26</v>
      </c>
      <c r="E10">
        <v>800</v>
      </c>
    </row>
    <row r="11" spans="1:5" x14ac:dyDescent="0.35">
      <c r="A11" s="1">
        <v>45997</v>
      </c>
      <c r="B11" t="s">
        <v>19</v>
      </c>
      <c r="C11" t="s">
        <v>27</v>
      </c>
      <c r="D11" t="s">
        <v>28</v>
      </c>
      <c r="E11">
        <v>810</v>
      </c>
    </row>
    <row r="12" spans="1:5" x14ac:dyDescent="0.35">
      <c r="A12" s="1">
        <v>45997</v>
      </c>
      <c r="B12" t="s">
        <v>14</v>
      </c>
      <c r="C12" t="s">
        <v>27</v>
      </c>
      <c r="D12" t="s">
        <v>29</v>
      </c>
      <c r="E12">
        <v>1664</v>
      </c>
    </row>
    <row r="13" spans="1:5" x14ac:dyDescent="0.35">
      <c r="A13" s="1">
        <v>45997</v>
      </c>
      <c r="B13" t="s">
        <v>19</v>
      </c>
      <c r="C13" t="s">
        <v>27</v>
      </c>
      <c r="D13" t="s">
        <v>30</v>
      </c>
      <c r="E13">
        <v>1300</v>
      </c>
    </row>
    <row r="14" spans="1:5" x14ac:dyDescent="0.35">
      <c r="A14" s="1">
        <v>45997</v>
      </c>
      <c r="B14" t="s">
        <v>19</v>
      </c>
      <c r="C14" t="s">
        <v>27</v>
      </c>
      <c r="D14" t="s">
        <v>31</v>
      </c>
      <c r="E14">
        <v>509</v>
      </c>
    </row>
    <row r="15" spans="1:5" x14ac:dyDescent="0.35">
      <c r="A15" s="1" t="s">
        <v>32</v>
      </c>
      <c r="B15" t="s">
        <v>19</v>
      </c>
      <c r="C15" t="s">
        <v>27</v>
      </c>
      <c r="D15" t="s">
        <v>33</v>
      </c>
      <c r="E15">
        <v>1000</v>
      </c>
    </row>
    <row r="16" spans="1:5" x14ac:dyDescent="0.35">
      <c r="A16" t="s">
        <v>34</v>
      </c>
      <c r="B16" t="s">
        <v>14</v>
      </c>
      <c r="C16" t="s">
        <v>27</v>
      </c>
      <c r="D16" t="s">
        <v>36</v>
      </c>
      <c r="E16">
        <v>800</v>
      </c>
    </row>
    <row r="17" spans="1:5" x14ac:dyDescent="0.35">
      <c r="A17" t="s">
        <v>34</v>
      </c>
      <c r="B17" t="s">
        <v>19</v>
      </c>
      <c r="C17" t="s">
        <v>27</v>
      </c>
      <c r="D17" t="s">
        <v>37</v>
      </c>
      <c r="E17">
        <v>106</v>
      </c>
    </row>
    <row r="18" spans="1:5" x14ac:dyDescent="0.35">
      <c r="A18" s="1" t="s">
        <v>38</v>
      </c>
      <c r="B18" t="s">
        <v>19</v>
      </c>
      <c r="C18" t="s">
        <v>17</v>
      </c>
      <c r="D18" t="s">
        <v>39</v>
      </c>
      <c r="E18">
        <v>37650</v>
      </c>
    </row>
    <row r="19" spans="1:5" x14ac:dyDescent="0.35">
      <c r="A19" s="1" t="s">
        <v>38</v>
      </c>
      <c r="B19" t="s">
        <v>19</v>
      </c>
      <c r="C19" t="s">
        <v>17</v>
      </c>
      <c r="D19" t="s">
        <v>40</v>
      </c>
      <c r="E19">
        <v>1888</v>
      </c>
    </row>
    <row r="20" spans="1:5" x14ac:dyDescent="0.35">
      <c r="A20" s="1" t="s">
        <v>38</v>
      </c>
      <c r="B20" t="s">
        <v>14</v>
      </c>
      <c r="C20" t="s">
        <v>17</v>
      </c>
      <c r="D20" t="s">
        <v>41</v>
      </c>
      <c r="E20">
        <v>750</v>
      </c>
    </row>
    <row r="21" spans="1:5" x14ac:dyDescent="0.35">
      <c r="A21" s="1" t="s">
        <v>42</v>
      </c>
      <c r="B21" t="s">
        <v>19</v>
      </c>
      <c r="C21" t="s">
        <v>27</v>
      </c>
      <c r="D21" t="s">
        <v>43</v>
      </c>
      <c r="E21">
        <v>600</v>
      </c>
    </row>
    <row r="22" spans="1:5" x14ac:dyDescent="0.35">
      <c r="A22" t="s">
        <v>42</v>
      </c>
      <c r="B22" t="s">
        <v>14</v>
      </c>
      <c r="C22" t="s">
        <v>27</v>
      </c>
      <c r="D22" t="s">
        <v>44</v>
      </c>
      <c r="E22">
        <v>800</v>
      </c>
    </row>
    <row r="23" spans="1:5" x14ac:dyDescent="0.35">
      <c r="A23" s="1" t="s">
        <v>42</v>
      </c>
      <c r="B23" t="s">
        <v>19</v>
      </c>
      <c r="C23" t="s">
        <v>24</v>
      </c>
      <c r="D23" t="s">
        <v>45</v>
      </c>
      <c r="E23">
        <v>4500</v>
      </c>
    </row>
    <row r="24" spans="1:5" x14ac:dyDescent="0.35">
      <c r="A24" s="1" t="s">
        <v>48</v>
      </c>
      <c r="B24" t="s">
        <v>14</v>
      </c>
      <c r="C24" t="s">
        <v>27</v>
      </c>
      <c r="D24" t="s">
        <v>49</v>
      </c>
      <c r="E24">
        <v>900</v>
      </c>
    </row>
    <row r="25" spans="1:5" x14ac:dyDescent="0.35">
      <c r="A25" s="1" t="s">
        <v>51</v>
      </c>
      <c r="B25" t="s">
        <v>19</v>
      </c>
      <c r="C25" t="s">
        <v>17</v>
      </c>
      <c r="D25" t="s">
        <v>52</v>
      </c>
      <c r="E25">
        <v>10000</v>
      </c>
    </row>
    <row r="26" spans="1:5" x14ac:dyDescent="0.35">
      <c r="A26" s="1" t="s">
        <v>53</v>
      </c>
      <c r="B26" t="s">
        <v>14</v>
      </c>
      <c r="C26" t="s">
        <v>17</v>
      </c>
      <c r="D26" t="s">
        <v>54</v>
      </c>
      <c r="E26">
        <v>1325</v>
      </c>
    </row>
    <row r="27" spans="1:5" x14ac:dyDescent="0.35">
      <c r="A27" s="1" t="s">
        <v>51</v>
      </c>
      <c r="B27" t="s">
        <v>19</v>
      </c>
      <c r="C27" t="s">
        <v>17</v>
      </c>
      <c r="D27" t="s">
        <v>55</v>
      </c>
      <c r="E27">
        <v>2355</v>
      </c>
    </row>
    <row r="28" spans="1:5" x14ac:dyDescent="0.35">
      <c r="A28" s="1" t="s">
        <v>51</v>
      </c>
      <c r="B28" t="s">
        <v>14</v>
      </c>
      <c r="C28" t="s">
        <v>27</v>
      </c>
      <c r="D28" t="s">
        <v>58</v>
      </c>
      <c r="E28">
        <v>1019</v>
      </c>
    </row>
    <row r="29" spans="1:5" x14ac:dyDescent="0.35">
      <c r="A29" s="1" t="s">
        <v>51</v>
      </c>
      <c r="B29" t="s">
        <v>14</v>
      </c>
      <c r="C29" t="s">
        <v>27</v>
      </c>
      <c r="D29" t="s">
        <v>59</v>
      </c>
      <c r="E29">
        <v>571</v>
      </c>
    </row>
    <row r="30" spans="1:5" x14ac:dyDescent="0.35">
      <c r="A30" s="1" t="s">
        <v>51</v>
      </c>
      <c r="B30" t="s">
        <v>14</v>
      </c>
      <c r="C30" t="s">
        <v>27</v>
      </c>
      <c r="D30" t="s">
        <v>60</v>
      </c>
      <c r="E30">
        <v>6200</v>
      </c>
    </row>
    <row r="31" spans="1:5" x14ac:dyDescent="0.35">
      <c r="A31" s="1">
        <v>45664</v>
      </c>
      <c r="B31" t="s">
        <v>14</v>
      </c>
      <c r="C31" t="s">
        <v>17</v>
      </c>
      <c r="D31" t="s">
        <v>61</v>
      </c>
      <c r="E31">
        <v>5781</v>
      </c>
    </row>
    <row r="32" spans="1:5" x14ac:dyDescent="0.35">
      <c r="A32" s="1">
        <v>45664</v>
      </c>
      <c r="B32" t="s">
        <v>14</v>
      </c>
      <c r="C32" t="s">
        <v>27</v>
      </c>
      <c r="D32" t="s">
        <v>44</v>
      </c>
      <c r="E32">
        <v>800</v>
      </c>
    </row>
    <row r="33" spans="1:5" x14ac:dyDescent="0.35">
      <c r="A33" s="1">
        <v>45664</v>
      </c>
      <c r="B33" t="s">
        <v>14</v>
      </c>
      <c r="C33" t="s">
        <v>27</v>
      </c>
      <c r="D33" t="s">
        <v>62</v>
      </c>
      <c r="E33">
        <v>800</v>
      </c>
    </row>
    <row r="34" spans="1:5" x14ac:dyDescent="0.35">
      <c r="A34" s="1">
        <v>45664</v>
      </c>
      <c r="B34" t="s">
        <v>14</v>
      </c>
      <c r="C34" t="s">
        <v>27</v>
      </c>
      <c r="D34" t="s">
        <v>63</v>
      </c>
      <c r="E34">
        <v>900</v>
      </c>
    </row>
    <row r="35" spans="1:5" x14ac:dyDescent="0.35">
      <c r="A35" s="1">
        <v>45664</v>
      </c>
      <c r="B35" t="s">
        <v>14</v>
      </c>
      <c r="C35" t="s">
        <v>27</v>
      </c>
      <c r="D35" t="s">
        <v>64</v>
      </c>
      <c r="E35">
        <v>1200</v>
      </c>
    </row>
    <row r="36" spans="1:5" x14ac:dyDescent="0.35">
      <c r="A36" s="1">
        <v>45664</v>
      </c>
      <c r="B36" t="s">
        <v>14</v>
      </c>
      <c r="C36" t="s">
        <v>27</v>
      </c>
      <c r="D36" t="s">
        <v>65</v>
      </c>
      <c r="E36">
        <v>120</v>
      </c>
    </row>
    <row r="37" spans="1:5" x14ac:dyDescent="0.35">
      <c r="A37" s="1">
        <v>45695</v>
      </c>
      <c r="B37" t="s">
        <v>14</v>
      </c>
      <c r="C37" t="s">
        <v>17</v>
      </c>
      <c r="D37" t="s">
        <v>66</v>
      </c>
      <c r="E37">
        <v>16000</v>
      </c>
    </row>
    <row r="38" spans="1:5" x14ac:dyDescent="0.35">
      <c r="A38" s="1">
        <v>45723</v>
      </c>
      <c r="B38" t="s">
        <v>14</v>
      </c>
      <c r="C38" t="s">
        <v>27</v>
      </c>
      <c r="D38" t="s">
        <v>67</v>
      </c>
      <c r="E38">
        <v>1500</v>
      </c>
    </row>
    <row r="39" spans="1:5" x14ac:dyDescent="0.35">
      <c r="A39" s="1">
        <v>45723</v>
      </c>
      <c r="B39" t="s">
        <v>19</v>
      </c>
      <c r="C39" t="s">
        <v>17</v>
      </c>
      <c r="D39" t="s">
        <v>68</v>
      </c>
      <c r="E39">
        <v>1000</v>
      </c>
    </row>
    <row r="40" spans="1:5" x14ac:dyDescent="0.35">
      <c r="A40" s="1">
        <v>45845</v>
      </c>
      <c r="B40" t="s">
        <v>19</v>
      </c>
      <c r="C40" t="s">
        <v>27</v>
      </c>
      <c r="D40" t="s">
        <v>69</v>
      </c>
      <c r="E40">
        <v>4200</v>
      </c>
    </row>
    <row r="41" spans="1:5" x14ac:dyDescent="0.35">
      <c r="A41" s="1">
        <v>45937</v>
      </c>
      <c r="B41" t="s">
        <v>14</v>
      </c>
      <c r="C41" t="s">
        <v>27</v>
      </c>
      <c r="D41" t="s">
        <v>70</v>
      </c>
      <c r="E41">
        <v>764</v>
      </c>
    </row>
    <row r="42" spans="1:5" x14ac:dyDescent="0.35">
      <c r="A42" s="1">
        <v>45937</v>
      </c>
      <c r="B42" t="s">
        <v>19</v>
      </c>
      <c r="C42" t="s">
        <v>27</v>
      </c>
      <c r="D42" t="s">
        <v>71</v>
      </c>
      <c r="E42">
        <v>800</v>
      </c>
    </row>
    <row r="43" spans="1:5" x14ac:dyDescent="0.35">
      <c r="A43" s="1">
        <v>45968</v>
      </c>
      <c r="B43" t="s">
        <v>19</v>
      </c>
      <c r="C43" t="s">
        <v>27</v>
      </c>
      <c r="D43" t="s">
        <v>72</v>
      </c>
      <c r="E43">
        <v>375</v>
      </c>
    </row>
    <row r="44" spans="1:5" x14ac:dyDescent="0.35">
      <c r="A44" t="s">
        <v>73</v>
      </c>
      <c r="B44" t="s">
        <v>14</v>
      </c>
      <c r="C44" t="s">
        <v>27</v>
      </c>
      <c r="D44" t="s">
        <v>74</v>
      </c>
      <c r="E44">
        <v>578</v>
      </c>
    </row>
    <row r="45" spans="1:5" x14ac:dyDescent="0.35">
      <c r="A45" t="s">
        <v>75</v>
      </c>
      <c r="B45" t="s">
        <v>14</v>
      </c>
      <c r="C45" t="s">
        <v>27</v>
      </c>
      <c r="D45" t="s">
        <v>76</v>
      </c>
      <c r="E45">
        <v>1500</v>
      </c>
    </row>
    <row r="46" spans="1:5" x14ac:dyDescent="0.35">
      <c r="A46" t="s">
        <v>75</v>
      </c>
      <c r="B46" t="s">
        <v>14</v>
      </c>
      <c r="C46" t="s">
        <v>27</v>
      </c>
      <c r="D46" t="s">
        <v>77</v>
      </c>
      <c r="E46">
        <v>365</v>
      </c>
    </row>
    <row r="47" spans="1:5" x14ac:dyDescent="0.35">
      <c r="A47" t="s">
        <v>75</v>
      </c>
      <c r="B47" t="s">
        <v>19</v>
      </c>
      <c r="C47" t="s">
        <v>27</v>
      </c>
      <c r="D47" t="s">
        <v>78</v>
      </c>
      <c r="E47">
        <v>148</v>
      </c>
    </row>
    <row r="48" spans="1:5" x14ac:dyDescent="0.35">
      <c r="A48" t="s">
        <v>79</v>
      </c>
      <c r="B48" t="s">
        <v>14</v>
      </c>
      <c r="C48" t="s">
        <v>27</v>
      </c>
      <c r="D48" t="s">
        <v>80</v>
      </c>
      <c r="E48">
        <v>2500</v>
      </c>
    </row>
  </sheetData>
  <autoFilter ref="A1:E30" xr:uid="{C5D1E257-25FD-434D-BFEA-F8C172C54769}"/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Investments</vt:lpstr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Shetty, Arun</dc:creator>
  <cp:lastModifiedBy>Shetty, Arun</cp:lastModifiedBy>
  <dcterms:created xsi:type="dcterms:W3CDTF">2025-06-25T06:54:42Z</dcterms:created>
  <dcterms:modified xsi:type="dcterms:W3CDTF">2025-08-28T05:50:45Z</dcterms:modified>
</cp:coreProperties>
</file>
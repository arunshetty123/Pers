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office.accenture.com/personal/arun_siddappa_shetty_accenture_com/Documents/Documents/Premio Hub Documents/"/>
    </mc:Choice>
  </mc:AlternateContent>
  <xr:revisionPtr revIDLastSave="201" documentId="11_97F70BEF6032B6873B727499785C8A4766673CCC" xr6:coauthVersionLast="47" xr6:coauthVersionMax="47" xr10:uidLastSave="{F3E9E4D4-BBEE-4392-817C-08358A729917}"/>
  <bookViews>
    <workbookView xWindow="-110" yWindow="-110" windowWidth="19420" windowHeight="10300" xr2:uid="{00000000-000D-0000-FFFF-FFFF00000000}"/>
  </bookViews>
  <sheets>
    <sheet name="Sheet5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5" l="1"/>
  <c r="L17" i="5"/>
  <c r="H16" i="5"/>
  <c r="L8" i="5"/>
  <c r="H8" i="5"/>
  <c r="I7" i="5"/>
  <c r="I6" i="5"/>
  <c r="I8" i="5" s="1"/>
  <c r="C14" i="5"/>
  <c r="H1" i="5" l="1"/>
  <c r="H3" i="5" s="1"/>
  <c r="C9" i="5"/>
  <c r="C3" i="5"/>
  <c r="D5" i="5" s="1"/>
  <c r="D6" i="5" l="1"/>
  <c r="C15" i="5" s="1"/>
  <c r="C13" i="5"/>
  <c r="D4" i="5"/>
  <c r="C12" i="5" s="1"/>
</calcChain>
</file>

<file path=xl/sharedStrings.xml><?xml version="1.0" encoding="utf-8"?>
<sst xmlns="http://schemas.openxmlformats.org/spreadsheetml/2006/main" count="38" uniqueCount="33">
  <si>
    <t>Total Contribution</t>
  </si>
  <si>
    <t>Arun Share</t>
  </si>
  <si>
    <t>Naveen Share</t>
  </si>
  <si>
    <t>Contribution</t>
  </si>
  <si>
    <t>Percentage</t>
  </si>
  <si>
    <t>Sunil Fixed Share</t>
  </si>
  <si>
    <t>Remaining Share</t>
  </si>
  <si>
    <t>Arun Percentage</t>
  </si>
  <si>
    <t>Naveen Percentage</t>
  </si>
  <si>
    <t>Premio Hub Contribution</t>
  </si>
  <si>
    <t>Sunil Percentage</t>
  </si>
  <si>
    <t>With GST</t>
  </si>
  <si>
    <t>Total</t>
  </si>
  <si>
    <t>Haique</t>
  </si>
  <si>
    <t>Hafele</t>
  </si>
  <si>
    <t>Sunil Vaali</t>
  </si>
  <si>
    <t>Sunil Vaali Percentage</t>
  </si>
  <si>
    <t>Value</t>
  </si>
  <si>
    <t>Investment</t>
  </si>
  <si>
    <t>Prof</t>
  </si>
  <si>
    <t>Stock Value</t>
  </si>
  <si>
    <t>Payable</t>
  </si>
  <si>
    <t>Recievable</t>
  </si>
  <si>
    <t>Initial Set-up</t>
  </si>
  <si>
    <t>Regular</t>
  </si>
  <si>
    <t>Advance</t>
  </si>
  <si>
    <t>Display</t>
  </si>
  <si>
    <t>Office</t>
  </si>
  <si>
    <t>Credit Note</t>
  </si>
  <si>
    <t>Account</t>
  </si>
  <si>
    <t>Tumkur</t>
  </si>
  <si>
    <t>Actual</t>
  </si>
  <si>
    <t>Agreed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</si>
</sst>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1" xfId="0" applyBorder="1"/>
    <xf numFmtId="0" fontId="0" fillId="2" borderId="1" xfId="0" applyFill="1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7"/>
  <sheetViews>
    <sheetView tabSelected="1" workbookViewId="0">
      <selection activeCell="E8" sqref="E8"/>
    </sheetView>
  </sheetViews>
  <sheetFormatPr defaultRowHeight="14.5" x14ac:dyDescent="0.35"/>
  <cols>
    <col min="1" max="1" width="21.81640625" bestFit="1" customWidth="1"/>
    <col min="2" max="2" width="18.90625" bestFit="1" customWidth="1"/>
    <col min="3" max="4" width="11.81640625" bestFit="1" customWidth="1"/>
    <col min="7" max="7" width="15.90625" bestFit="1" customWidth="1"/>
    <col min="8" max="8" width="11.81640625" bestFit="1" customWidth="1"/>
    <col min="10" max="10" width="11.7265625" bestFit="1" customWidth="1"/>
    <col min="12" max="12" width="10.90625" bestFit="1" customWidth="1"/>
    <col min="13" max="13" width="10.81640625" bestFit="1" customWidth="1"/>
    <col min="15" max="15" width="9.6328125" bestFit="1" customWidth="1"/>
    <col min="18" max="18" width="10.90625" bestFit="1" customWidth="1"/>
  </cols>
  <sheetData>
    <row r="1" spans="1:12" x14ac:dyDescent="0.35">
      <c r="A1" s="1" t="s">
        <v>9</v>
      </c>
      <c r="G1" s="4" t="s">
        <v>17</v>
      </c>
      <c r="H1" s="2">
        <f>I8-L8+H16+L17</f>
        <v>12797635.959999997</v>
      </c>
    </row>
    <row r="2" spans="1:12" x14ac:dyDescent="0.35">
      <c r="B2" s="2"/>
      <c r="C2" s="3" t="s">
        <v>3</v>
      </c>
      <c r="D2" s="3" t="s">
        <v>4</v>
      </c>
      <c r="G2" s="4" t="s">
        <v>18</v>
      </c>
      <c r="H2" s="2">
        <f>SUM(C4:C6)</f>
        <v>11760000</v>
      </c>
    </row>
    <row r="3" spans="1:12" x14ac:dyDescent="0.35">
      <c r="B3" s="3" t="s">
        <v>0</v>
      </c>
      <c r="C3" s="2">
        <f>SUM(C4:C6)</f>
        <v>11760000</v>
      </c>
      <c r="D3" s="2">
        <v>100</v>
      </c>
      <c r="G3" s="4" t="s">
        <v>19</v>
      </c>
      <c r="H3" s="2">
        <f>H1-H2</f>
        <v>1037635.9599999972</v>
      </c>
    </row>
    <row r="4" spans="1:12" x14ac:dyDescent="0.35">
      <c r="B4" s="3" t="s">
        <v>1</v>
      </c>
      <c r="C4" s="2">
        <v>7030000</v>
      </c>
      <c r="D4" s="2">
        <f>C4/C3*100</f>
        <v>59.778911564625844</v>
      </c>
    </row>
    <row r="5" spans="1:12" x14ac:dyDescent="0.35">
      <c r="B5" s="3" t="s">
        <v>2</v>
      </c>
      <c r="C5" s="2">
        <v>2930000</v>
      </c>
      <c r="D5" s="2">
        <f>C5/C3*100</f>
        <v>24.914965986394559</v>
      </c>
      <c r="G5" s="2"/>
      <c r="H5" s="3" t="s">
        <v>20</v>
      </c>
      <c r="I5" s="3" t="s">
        <v>11</v>
      </c>
      <c r="K5" s="2"/>
      <c r="L5" s="3" t="s">
        <v>21</v>
      </c>
    </row>
    <row r="6" spans="1:12" x14ac:dyDescent="0.35">
      <c r="B6" s="3" t="s">
        <v>15</v>
      </c>
      <c r="C6" s="2">
        <v>1800000</v>
      </c>
      <c r="D6" s="2">
        <f>C6/C3*100</f>
        <v>15.306122448979592</v>
      </c>
      <c r="G6" s="3" t="s">
        <v>13</v>
      </c>
      <c r="H6" s="2">
        <v>2055036</v>
      </c>
      <c r="I6" s="2">
        <f>H6*1.18</f>
        <v>2424942.48</v>
      </c>
      <c r="K6" s="3" t="s">
        <v>13</v>
      </c>
      <c r="L6" s="2">
        <v>1126528</v>
      </c>
    </row>
    <row r="7" spans="1:12" x14ac:dyDescent="0.35">
      <c r="G7" s="3" t="s">
        <v>14</v>
      </c>
      <c r="H7" s="2">
        <v>12251736</v>
      </c>
      <c r="I7" s="2">
        <f>H7*1.18</f>
        <v>14457048.479999999</v>
      </c>
      <c r="K7" s="3" t="s">
        <v>14</v>
      </c>
      <c r="L7" s="2">
        <v>5506030</v>
      </c>
    </row>
    <row r="8" spans="1:12" x14ac:dyDescent="0.35">
      <c r="B8" t="s">
        <v>5</v>
      </c>
      <c r="C8">
        <v>5</v>
      </c>
      <c r="G8" s="4" t="s">
        <v>12</v>
      </c>
      <c r="H8" s="2">
        <f>SUM(H6:H7)</f>
        <v>14306772</v>
      </c>
      <c r="I8" s="2">
        <f>SUM(I6:I7)</f>
        <v>16881990.959999997</v>
      </c>
      <c r="K8" s="4" t="s">
        <v>12</v>
      </c>
      <c r="L8" s="2">
        <f>SUM(L6:L7)</f>
        <v>6632558</v>
      </c>
    </row>
    <row r="9" spans="1:12" x14ac:dyDescent="0.35">
      <c r="B9" t="s">
        <v>6</v>
      </c>
      <c r="C9">
        <f>D3-C8</f>
        <v>95</v>
      </c>
    </row>
    <row r="11" spans="1:12" x14ac:dyDescent="0.35">
      <c r="B11" s="2"/>
      <c r="C11" s="4" t="s">
        <v>31</v>
      </c>
      <c r="D11" s="4" t="s">
        <v>32</v>
      </c>
    </row>
    <row r="12" spans="1:12" x14ac:dyDescent="0.35">
      <c r="B12" s="4" t="s">
        <v>7</v>
      </c>
      <c r="C12" s="2">
        <f>C9*D4/100</f>
        <v>56.789965986394556</v>
      </c>
      <c r="D12" s="2">
        <v>50.5</v>
      </c>
      <c r="G12" s="2"/>
      <c r="H12" s="3" t="s">
        <v>22</v>
      </c>
      <c r="K12" s="2"/>
      <c r="L12" s="3" t="s">
        <v>23</v>
      </c>
    </row>
    <row r="13" spans="1:12" x14ac:dyDescent="0.35">
      <c r="B13" s="4" t="s">
        <v>8</v>
      </c>
      <c r="C13" s="2">
        <f>C9*D5/100</f>
        <v>23.669217687074834</v>
      </c>
      <c r="D13" s="2">
        <v>30</v>
      </c>
      <c r="G13" s="3" t="s">
        <v>24</v>
      </c>
      <c r="H13" s="2">
        <v>1592608</v>
      </c>
      <c r="K13" s="3" t="s">
        <v>25</v>
      </c>
      <c r="L13" s="2">
        <v>250000</v>
      </c>
    </row>
    <row r="14" spans="1:12" x14ac:dyDescent="0.35">
      <c r="B14" s="4" t="s">
        <v>10</v>
      </c>
      <c r="C14" s="2">
        <f>C8</f>
        <v>5</v>
      </c>
      <c r="D14" s="2">
        <v>5</v>
      </c>
      <c r="G14" s="3" t="s">
        <v>26</v>
      </c>
      <c r="H14" s="2">
        <v>25595</v>
      </c>
      <c r="K14" s="3" t="s">
        <v>27</v>
      </c>
      <c r="L14" s="2">
        <v>100000</v>
      </c>
    </row>
    <row r="15" spans="1:12" x14ac:dyDescent="0.35">
      <c r="B15" s="4" t="s">
        <v>16</v>
      </c>
      <c r="C15" s="2">
        <f>C9*D6/100</f>
        <v>14.540816326530612</v>
      </c>
      <c r="D15" s="2">
        <v>14.5</v>
      </c>
      <c r="G15" s="3" t="s">
        <v>28</v>
      </c>
      <c r="H15" s="2">
        <v>280000</v>
      </c>
      <c r="K15" s="3" t="s">
        <v>29</v>
      </c>
      <c r="L15" s="2">
        <v>200000</v>
      </c>
    </row>
    <row r="16" spans="1:12" x14ac:dyDescent="0.35">
      <c r="G16" s="4" t="s">
        <v>12</v>
      </c>
      <c r="H16" s="2">
        <f>SUM(H13:H15)</f>
        <v>1898203</v>
      </c>
      <c r="K16" s="3" t="s">
        <v>30</v>
      </c>
      <c r="L16" s="2">
        <v>100000</v>
      </c>
    </row>
    <row r="17" spans="11:12" x14ac:dyDescent="0.35">
      <c r="K17" s="4" t="s">
        <v>12</v>
      </c>
      <c r="L17" s="2">
        <f>SUM(L13:L16)</f>
        <v>650000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0436834-B254-4EA7-968E-9D17BE275A68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Shetty, Arun</dc:creator>
  <cp:lastModifiedBy>Shetty, Arun</cp:lastModifiedBy>
  <dcterms:created xsi:type="dcterms:W3CDTF">2025-08-11T06:05:39Z</dcterms:created>
  <dcterms:modified xsi:type="dcterms:W3CDTF">2026-02-13T06:42:39Z</dcterms:modified>
</cp:coreProperties>
</file>
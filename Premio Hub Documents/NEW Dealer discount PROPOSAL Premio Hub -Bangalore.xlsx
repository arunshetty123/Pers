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iris\OneDrive\Desktop\NEW DEALER PROPOSAL\"/>
    </mc:Choice>
  </mc:AlternateContent>
  <xr:revisionPtr revIDLastSave="0" documentId="8_{F7B7851D-ECF7-3944-86FE-AE6617F593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8" i="1"/>
  <c r="E6" i="1"/>
  <c r="E8" i="1"/>
  <c r="F6" i="1"/>
  <c r="F8" i="1"/>
  <c r="G6" i="1"/>
  <c r="G8" i="1"/>
  <c r="H6" i="1"/>
  <c r="H8" i="1"/>
  <c r="I6" i="1"/>
  <c r="I8" i="1"/>
  <c r="J6" i="1"/>
  <c r="J8" i="1"/>
  <c r="K6" i="1"/>
  <c r="K8" i="1"/>
  <c r="L6" i="1"/>
  <c r="L8" i="1"/>
  <c r="C6" i="1"/>
  <c r="C8" i="1"/>
  <c r="L9" i="1"/>
  <c r="L10" i="1"/>
  <c r="K9" i="1"/>
  <c r="K10" i="1"/>
  <c r="J9" i="1"/>
  <c r="J10" i="1"/>
  <c r="I9" i="1"/>
  <c r="I10" i="1"/>
  <c r="G9" i="1"/>
  <c r="G10" i="1"/>
  <c r="F9" i="1"/>
  <c r="F10" i="1"/>
  <c r="E9" i="1"/>
  <c r="E10" i="1"/>
  <c r="D9" i="1"/>
  <c r="D10" i="1"/>
  <c r="C9" i="1"/>
  <c r="C10" i="1"/>
  <c r="H9" i="1"/>
  <c r="H10" i="1"/>
</calcChain>
</file>

<file path=xl/sharedStrings.xml><?xml version="1.0" encoding="utf-8"?>
<sst xmlns="http://schemas.openxmlformats.org/spreadsheetml/2006/main" count="85" uniqueCount="59">
  <si>
    <t>Sr No.</t>
  </si>
  <si>
    <t>New york</t>
  </si>
  <si>
    <t>Tokyo</t>
  </si>
  <si>
    <t>Lords</t>
  </si>
  <si>
    <t>London A</t>
  </si>
  <si>
    <t>London B</t>
  </si>
  <si>
    <t>Dubai </t>
  </si>
  <si>
    <t>Paris</t>
  </si>
  <si>
    <t>Milan</t>
  </si>
  <si>
    <t>Crystal</t>
  </si>
  <si>
    <t>Ex factory</t>
  </si>
  <si>
    <t>Less Discount</t>
  </si>
  <si>
    <t>Net Price </t>
  </si>
  <si>
    <t>Freight</t>
  </si>
  <si>
    <t>Basic</t>
  </si>
  <si>
    <t>GST @ 18% </t>
  </si>
  <si>
    <t>Landed Bangalore</t>
  </si>
  <si>
    <t>Thick ness</t>
  </si>
  <si>
    <t>20mm</t>
  </si>
  <si>
    <t>Series style</t>
  </si>
  <si>
    <t>Sparkle</t>
  </si>
  <si>
    <t>Salt Paper</t>
  </si>
  <si>
    <t>Bold </t>
  </si>
  <si>
    <t>White </t>
  </si>
  <si>
    <t>Eng Cloud</t>
  </si>
  <si>
    <t>Carara/Vein</t>
  </si>
  <si>
    <t>Statuario</t>
  </si>
  <si>
    <t>White</t>
  </si>
  <si>
    <t>Slab Weight </t>
  </si>
  <si>
    <t>220 Kgs</t>
  </si>
  <si>
    <t>Slab Size</t>
  </si>
  <si>
    <t>3200 mmx1450 mm-Coverage 50 Sqft</t>
  </si>
  <si>
    <t>New York</t>
  </si>
  <si>
    <t>London</t>
  </si>
  <si>
    <t>Rome 1</t>
  </si>
  <si>
    <t>Rome 2</t>
  </si>
  <si>
    <t>Rome 3</t>
  </si>
  <si>
    <t>Thickness</t>
  </si>
  <si>
    <t>16mm</t>
  </si>
  <si>
    <t>18mm</t>
  </si>
  <si>
    <t>Neo Marble &amp; Terrazzo Pricing</t>
  </si>
  <si>
    <t>Size</t>
  </si>
  <si>
    <t>3240mmx1640mm-Coverage 57sqft</t>
  </si>
  <si>
    <t>Platinum Statuario/Other Supreme collection</t>
  </si>
  <si>
    <t>Quartz Retail  Pricing</t>
  </si>
  <si>
    <t>Project Detail with location .</t>
  </si>
  <si>
    <t>BOQ    Qty.</t>
  </si>
  <si>
    <t>Delivery Schedule.</t>
  </si>
  <si>
    <t>Material Thick ness.</t>
  </si>
  <si>
    <t>Expected Pricing [ Always Ex factory ].</t>
  </si>
  <si>
    <t>If any ORC part presence [Eg. Architect/Purchase team] kindly put in mail  .</t>
  </si>
  <si>
    <t xml:space="preserve">Project Pricing </t>
  </si>
  <si>
    <t xml:space="preserve">Case to Case  on special  price approval, all over e- mail only [With below mention details] </t>
  </si>
  <si>
    <t>And other detail if Necessary .</t>
  </si>
  <si>
    <t xml:space="preserve">Neo-220 kg &amp;Terrazzo -275 kg </t>
  </si>
  <si>
    <t xml:space="preserve">Normally transport  Rs.25/- per sqft ,Buffer Rs. 5/- </t>
  </si>
  <si>
    <t>Freight from udaipur to Bangalore</t>
  </si>
  <si>
    <t>Remarks</t>
  </si>
  <si>
    <t>Landed Bangalore With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</si>
</sst>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0" borderId="8" xfId="0" applyBorder="1"/>
    <xf numFmtId="0" fontId="1" fillId="3" borderId="9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wrapText="1"/>
    </xf>
    <xf numFmtId="0" fontId="1" fillId="6" borderId="9" xfId="0" applyFont="1" applyFill="1" applyBorder="1" applyAlignment="1">
      <alignment wrapText="1"/>
    </xf>
    <xf numFmtId="0" fontId="1" fillId="4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1" fillId="5" borderId="9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15" xfId="0" applyBorder="1"/>
    <xf numFmtId="0" fontId="0" fillId="0" borderId="1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23" xfId="0" applyFont="1" applyFill="1" applyBorder="1" applyAlignment="1">
      <alignment horizontal="center" wrapText="1"/>
    </xf>
    <xf numFmtId="0" fontId="1" fillId="6" borderId="23" xfId="0" applyFont="1" applyFill="1" applyBorder="1" applyAlignment="1">
      <alignment horizontal="center" wrapText="1"/>
    </xf>
    <xf numFmtId="0" fontId="1" fillId="4" borderId="23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wrapText="1"/>
    </xf>
    <xf numFmtId="0" fontId="1" fillId="5" borderId="23" xfId="0" applyFont="1" applyFill="1" applyBorder="1" applyAlignment="1">
      <alignment wrapText="1"/>
    </xf>
    <xf numFmtId="0" fontId="1" fillId="5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wrapText="1"/>
    </xf>
    <xf numFmtId="0" fontId="3" fillId="2" borderId="28" xfId="0" applyFont="1" applyFill="1" applyBorder="1" applyAlignment="1">
      <alignment wrapText="1"/>
    </xf>
    <xf numFmtId="0" fontId="0" fillId="6" borderId="4" xfId="0" applyFill="1" applyBorder="1" applyAlignment="1">
      <alignment wrapText="1"/>
    </xf>
    <xf numFmtId="0" fontId="1" fillId="3" borderId="30" xfId="0" applyFont="1" applyFill="1" applyBorder="1" applyAlignment="1">
      <alignment horizontal="center" wrapText="1"/>
    </xf>
    <xf numFmtId="0" fontId="0" fillId="7" borderId="2" xfId="0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0" fillId="6" borderId="31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14" xfId="0" applyFill="1" applyBorder="1" applyAlignment="1">
      <alignment horizontal="center" wrapText="1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9" xfId="0" applyBorder="1" applyAlignment="1">
      <alignment horizontal="left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9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6"/>
  <sheetViews>
    <sheetView tabSelected="1" topLeftCell="B4" workbookViewId="0">
      <selection activeCell="H11" sqref="H11:L11"/>
    </sheetView>
  </sheetViews>
  <sheetFormatPr defaultRowHeight="15" x14ac:dyDescent="0.2"/>
  <cols>
    <col min="2" max="2" width="9.953125" customWidth="1"/>
    <col min="13" max="13" width="19.1015625" customWidth="1"/>
    <col min="14" max="14" width="3.359375" customWidth="1"/>
  </cols>
  <sheetData>
    <row r="1" spans="2:19" ht="15.75" thickBot="1" x14ac:dyDescent="0.25"/>
    <row r="2" spans="2:19" ht="39" customHeight="1" thickBot="1" x14ac:dyDescent="0.25">
      <c r="B2" s="54" t="s">
        <v>44</v>
      </c>
      <c r="C2" s="55"/>
      <c r="D2" s="55"/>
      <c r="E2" s="55"/>
      <c r="F2" s="55"/>
      <c r="G2" s="55"/>
      <c r="H2" s="55"/>
      <c r="I2" s="55"/>
      <c r="J2" s="55"/>
      <c r="K2" s="55"/>
      <c r="L2" s="56"/>
      <c r="M2" s="9"/>
      <c r="N2" s="37" t="s">
        <v>51</v>
      </c>
      <c r="O2" s="38"/>
      <c r="P2" s="38"/>
      <c r="Q2" s="38"/>
      <c r="R2" s="38"/>
      <c r="S2" s="39"/>
    </row>
    <row r="3" spans="2:19" ht="72.599999999999994" customHeight="1" x14ac:dyDescent="0.2">
      <c r="B3" s="10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35" t="s">
        <v>43</v>
      </c>
      <c r="M3" s="36" t="s">
        <v>57</v>
      </c>
      <c r="N3" s="40" t="s">
        <v>52</v>
      </c>
      <c r="O3" s="41"/>
      <c r="P3" s="41"/>
      <c r="Q3" s="41"/>
      <c r="R3" s="41"/>
      <c r="S3" s="42"/>
    </row>
    <row r="4" spans="2:19" x14ac:dyDescent="0.2">
      <c r="B4" s="11" t="s">
        <v>10</v>
      </c>
      <c r="C4" s="2">
        <v>340</v>
      </c>
      <c r="D4" s="2">
        <v>340</v>
      </c>
      <c r="E4" s="2">
        <v>380</v>
      </c>
      <c r="F4" s="2">
        <v>410</v>
      </c>
      <c r="G4" s="2">
        <v>460</v>
      </c>
      <c r="H4" s="2">
        <v>440</v>
      </c>
      <c r="I4" s="2">
        <v>540</v>
      </c>
      <c r="J4" s="2">
        <v>690</v>
      </c>
      <c r="K4" s="2">
        <v>750</v>
      </c>
      <c r="L4" s="26">
        <v>1200</v>
      </c>
      <c r="N4" s="21">
        <v>1</v>
      </c>
      <c r="O4" s="43" t="s">
        <v>45</v>
      </c>
      <c r="P4" s="44"/>
      <c r="Q4" s="44"/>
      <c r="R4" s="44"/>
      <c r="S4" s="45"/>
    </row>
    <row r="5" spans="2:19" ht="27.75" x14ac:dyDescent="0.2">
      <c r="B5" s="12" t="s">
        <v>11</v>
      </c>
      <c r="C5" s="8">
        <v>55</v>
      </c>
      <c r="D5" s="8">
        <v>55</v>
      </c>
      <c r="E5" s="8">
        <v>55</v>
      </c>
      <c r="F5" s="8">
        <v>55</v>
      </c>
      <c r="G5" s="8">
        <v>55</v>
      </c>
      <c r="H5" s="8">
        <v>55</v>
      </c>
      <c r="I5" s="8">
        <v>75</v>
      </c>
      <c r="J5" s="8">
        <v>75</v>
      </c>
      <c r="K5" s="8">
        <v>75</v>
      </c>
      <c r="L5" s="27">
        <v>150</v>
      </c>
      <c r="N5" s="21">
        <v>2</v>
      </c>
      <c r="O5" s="43" t="s">
        <v>46</v>
      </c>
      <c r="P5" s="44"/>
      <c r="Q5" s="44"/>
      <c r="R5" s="44"/>
      <c r="S5" s="45"/>
    </row>
    <row r="6" spans="2:19" x14ac:dyDescent="0.2">
      <c r="B6" s="11" t="s">
        <v>12</v>
      </c>
      <c r="C6" s="2">
        <f>C4-C5</f>
        <v>285</v>
      </c>
      <c r="D6" s="2">
        <f t="shared" ref="D6:L6" si="0">D4-D5</f>
        <v>285</v>
      </c>
      <c r="E6" s="2">
        <f t="shared" si="0"/>
        <v>325</v>
      </c>
      <c r="F6" s="2">
        <f t="shared" si="0"/>
        <v>355</v>
      </c>
      <c r="G6" s="2">
        <f t="shared" si="0"/>
        <v>405</v>
      </c>
      <c r="H6" s="2">
        <f t="shared" si="0"/>
        <v>385</v>
      </c>
      <c r="I6" s="2">
        <f t="shared" si="0"/>
        <v>465</v>
      </c>
      <c r="J6" s="2">
        <f t="shared" si="0"/>
        <v>615</v>
      </c>
      <c r="K6" s="2">
        <f t="shared" si="0"/>
        <v>675</v>
      </c>
      <c r="L6" s="26">
        <f t="shared" si="0"/>
        <v>1050</v>
      </c>
      <c r="N6" s="21">
        <v>3</v>
      </c>
      <c r="O6" s="43" t="s">
        <v>47</v>
      </c>
      <c r="P6" s="44"/>
      <c r="Q6" s="44"/>
      <c r="R6" s="44"/>
      <c r="S6" s="45"/>
    </row>
    <row r="7" spans="2:19" ht="54.75" x14ac:dyDescent="0.2">
      <c r="B7" s="11" t="s">
        <v>56</v>
      </c>
      <c r="C7" s="2">
        <v>30</v>
      </c>
      <c r="D7" s="2">
        <v>30</v>
      </c>
      <c r="E7" s="2">
        <v>30</v>
      </c>
      <c r="F7" s="2">
        <v>30</v>
      </c>
      <c r="G7" s="2">
        <v>30</v>
      </c>
      <c r="H7" s="2">
        <v>30</v>
      </c>
      <c r="I7" s="2">
        <v>30</v>
      </c>
      <c r="J7" s="2">
        <v>30</v>
      </c>
      <c r="K7" s="2">
        <v>30</v>
      </c>
      <c r="L7" s="26">
        <v>30</v>
      </c>
      <c r="M7" s="34" t="s">
        <v>55</v>
      </c>
      <c r="N7" s="21">
        <v>4</v>
      </c>
      <c r="O7" s="43" t="s">
        <v>48</v>
      </c>
      <c r="P7" s="44"/>
      <c r="Q7" s="44"/>
      <c r="R7" s="44"/>
      <c r="S7" s="45"/>
    </row>
    <row r="8" spans="2:19" x14ac:dyDescent="0.2">
      <c r="B8" s="13" t="s">
        <v>14</v>
      </c>
      <c r="C8" s="3">
        <f>C6+C7</f>
        <v>315</v>
      </c>
      <c r="D8" s="3">
        <f t="shared" ref="D8:L8" si="1">D6+D7</f>
        <v>315</v>
      </c>
      <c r="E8" s="3">
        <f t="shared" si="1"/>
        <v>355</v>
      </c>
      <c r="F8" s="3">
        <f t="shared" si="1"/>
        <v>385</v>
      </c>
      <c r="G8" s="3">
        <f t="shared" si="1"/>
        <v>435</v>
      </c>
      <c r="H8" s="3">
        <f t="shared" si="1"/>
        <v>415</v>
      </c>
      <c r="I8" s="3">
        <f t="shared" si="1"/>
        <v>495</v>
      </c>
      <c r="J8" s="3">
        <f t="shared" si="1"/>
        <v>645</v>
      </c>
      <c r="K8" s="3">
        <f t="shared" si="1"/>
        <v>705</v>
      </c>
      <c r="L8" s="28">
        <f t="shared" si="1"/>
        <v>1080</v>
      </c>
      <c r="N8" s="21">
        <v>5</v>
      </c>
      <c r="O8" s="43" t="s">
        <v>49</v>
      </c>
      <c r="P8" s="44"/>
      <c r="Q8" s="44"/>
      <c r="R8" s="44"/>
      <c r="S8" s="45"/>
    </row>
    <row r="9" spans="2:19" x14ac:dyDescent="0.2">
      <c r="B9" s="11" t="s">
        <v>15</v>
      </c>
      <c r="C9" s="2">
        <f>C8*0.18</f>
        <v>56.699999999999996</v>
      </c>
      <c r="D9" s="2">
        <f t="shared" ref="D9:L9" si="2">D8*0.18</f>
        <v>56.699999999999996</v>
      </c>
      <c r="E9" s="2">
        <f t="shared" si="2"/>
        <v>63.9</v>
      </c>
      <c r="F9" s="2">
        <f t="shared" si="2"/>
        <v>69.3</v>
      </c>
      <c r="G9" s="2">
        <f t="shared" si="2"/>
        <v>78.3</v>
      </c>
      <c r="H9" s="2">
        <f t="shared" si="2"/>
        <v>74.7</v>
      </c>
      <c r="I9" s="2">
        <f t="shared" si="2"/>
        <v>89.1</v>
      </c>
      <c r="J9" s="2">
        <f t="shared" si="2"/>
        <v>116.1</v>
      </c>
      <c r="K9" s="2">
        <f t="shared" si="2"/>
        <v>126.89999999999999</v>
      </c>
      <c r="L9" s="26">
        <f t="shared" si="2"/>
        <v>194.4</v>
      </c>
      <c r="N9" s="21">
        <v>6</v>
      </c>
      <c r="O9" s="60" t="s">
        <v>50</v>
      </c>
      <c r="P9" s="61"/>
      <c r="Q9" s="61"/>
      <c r="R9" s="61"/>
      <c r="S9" s="62"/>
    </row>
    <row r="10" spans="2:19" ht="41.25" x14ac:dyDescent="0.2">
      <c r="B10" s="14" t="s">
        <v>58</v>
      </c>
      <c r="C10" s="3">
        <f>C8+C9</f>
        <v>371.7</v>
      </c>
      <c r="D10" s="3">
        <f t="shared" ref="D10:L10" si="3">D8+D9</f>
        <v>371.7</v>
      </c>
      <c r="E10" s="3">
        <f t="shared" si="3"/>
        <v>418.9</v>
      </c>
      <c r="F10" s="3">
        <f t="shared" si="3"/>
        <v>454.3</v>
      </c>
      <c r="G10" s="3">
        <f t="shared" si="3"/>
        <v>513.29999999999995</v>
      </c>
      <c r="H10" s="3">
        <f t="shared" si="3"/>
        <v>489.7</v>
      </c>
      <c r="I10" s="3">
        <f t="shared" si="3"/>
        <v>584.1</v>
      </c>
      <c r="J10" s="3">
        <f t="shared" si="3"/>
        <v>761.1</v>
      </c>
      <c r="K10" s="3">
        <f t="shared" si="3"/>
        <v>831.9</v>
      </c>
      <c r="L10" s="28">
        <f t="shared" si="3"/>
        <v>1274.4000000000001</v>
      </c>
      <c r="N10" s="21">
        <v>7</v>
      </c>
      <c r="O10" s="43" t="s">
        <v>53</v>
      </c>
      <c r="P10" s="44"/>
      <c r="Q10" s="44"/>
      <c r="R10" s="44"/>
      <c r="S10" s="45"/>
    </row>
    <row r="11" spans="2:19" ht="27.75" x14ac:dyDescent="0.2">
      <c r="B11" s="15" t="s">
        <v>28</v>
      </c>
      <c r="C11" s="50" t="s">
        <v>29</v>
      </c>
      <c r="D11" s="51"/>
      <c r="E11" s="51"/>
      <c r="F11" s="52"/>
      <c r="G11" s="6" t="s">
        <v>30</v>
      </c>
      <c r="H11" s="50" t="s">
        <v>31</v>
      </c>
      <c r="I11" s="51"/>
      <c r="J11" s="51"/>
      <c r="K11" s="51"/>
      <c r="L11" s="53"/>
      <c r="N11" s="21"/>
      <c r="O11" s="20"/>
      <c r="P11" s="20"/>
      <c r="Q11" s="20"/>
      <c r="R11" s="20"/>
      <c r="S11" s="22"/>
    </row>
    <row r="12" spans="2:19" x14ac:dyDescent="0.2">
      <c r="B12" s="11" t="s">
        <v>17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29" t="s">
        <v>18</v>
      </c>
      <c r="N12" s="21"/>
      <c r="O12" s="20"/>
      <c r="P12" s="20"/>
      <c r="Q12" s="20"/>
      <c r="R12" s="20"/>
      <c r="S12" s="22"/>
    </row>
    <row r="13" spans="2:19" ht="27.75" x14ac:dyDescent="0.2">
      <c r="B13" s="16" t="s">
        <v>19</v>
      </c>
      <c r="C13" s="5" t="s">
        <v>20</v>
      </c>
      <c r="D13" s="5" t="s">
        <v>21</v>
      </c>
      <c r="E13" s="5"/>
      <c r="F13" s="5" t="s">
        <v>22</v>
      </c>
      <c r="G13" s="5" t="s">
        <v>23</v>
      </c>
      <c r="H13" s="5" t="s">
        <v>24</v>
      </c>
      <c r="I13" s="5" t="s">
        <v>25</v>
      </c>
      <c r="J13" s="5" t="s">
        <v>26</v>
      </c>
      <c r="K13" s="5" t="s">
        <v>27</v>
      </c>
      <c r="L13" s="30" t="s">
        <v>26</v>
      </c>
      <c r="N13" s="21"/>
      <c r="O13" s="20"/>
      <c r="P13" s="20"/>
      <c r="Q13" s="20"/>
      <c r="R13" s="20"/>
      <c r="S13" s="22"/>
    </row>
    <row r="14" spans="2:19" ht="15.75" thickBot="1" x14ac:dyDescent="0.25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8"/>
      <c r="N14" s="23"/>
      <c r="O14" s="24"/>
      <c r="P14" s="24"/>
      <c r="Q14" s="24"/>
      <c r="R14" s="24"/>
      <c r="S14" s="25"/>
    </row>
    <row r="15" spans="2:19" ht="15.75" thickBot="1" x14ac:dyDescent="0.25"/>
    <row r="16" spans="2:19" x14ac:dyDescent="0.2">
      <c r="B16" s="57" t="s">
        <v>40</v>
      </c>
      <c r="C16" s="58"/>
      <c r="D16" s="58"/>
      <c r="E16" s="58"/>
      <c r="F16" s="58"/>
      <c r="G16" s="58"/>
      <c r="H16" s="58"/>
      <c r="I16" s="58"/>
      <c r="J16" s="59"/>
    </row>
    <row r="17" spans="2:10" x14ac:dyDescent="0.2">
      <c r="B17" s="10" t="s">
        <v>0</v>
      </c>
      <c r="C17" s="1" t="s">
        <v>32</v>
      </c>
      <c r="D17" s="1" t="s">
        <v>2</v>
      </c>
      <c r="E17" s="1" t="s">
        <v>33</v>
      </c>
      <c r="F17" s="1" t="s">
        <v>7</v>
      </c>
      <c r="G17" s="1" t="s">
        <v>8</v>
      </c>
      <c r="H17" s="7" t="s">
        <v>34</v>
      </c>
      <c r="I17" s="7" t="s">
        <v>35</v>
      </c>
      <c r="J17" s="31" t="s">
        <v>36</v>
      </c>
    </row>
    <row r="18" spans="2:10" x14ac:dyDescent="0.2">
      <c r="B18" s="11" t="s">
        <v>10</v>
      </c>
      <c r="C18" s="2">
        <v>190</v>
      </c>
      <c r="D18" s="2">
        <v>230</v>
      </c>
      <c r="E18" s="2">
        <v>230</v>
      </c>
      <c r="F18" s="2">
        <v>250</v>
      </c>
      <c r="G18" s="2">
        <v>280</v>
      </c>
      <c r="H18" s="2">
        <v>280</v>
      </c>
      <c r="I18" s="2">
        <v>430</v>
      </c>
      <c r="J18" s="26">
        <v>450</v>
      </c>
    </row>
    <row r="19" spans="2:10" ht="27.75" x14ac:dyDescent="0.2">
      <c r="B19" s="12" t="s">
        <v>11</v>
      </c>
      <c r="C19" s="8">
        <v>20</v>
      </c>
      <c r="D19" s="8">
        <v>20</v>
      </c>
      <c r="E19" s="8">
        <v>20</v>
      </c>
      <c r="F19" s="8">
        <v>20</v>
      </c>
      <c r="G19" s="8">
        <v>20</v>
      </c>
      <c r="H19" s="8">
        <v>25</v>
      </c>
      <c r="I19" s="8">
        <v>25</v>
      </c>
      <c r="J19" s="27">
        <v>25</v>
      </c>
    </row>
    <row r="20" spans="2:10" x14ac:dyDescent="0.2">
      <c r="B20" s="11" t="s">
        <v>12</v>
      </c>
      <c r="C20" s="2">
        <v>170</v>
      </c>
      <c r="D20" s="2">
        <v>210</v>
      </c>
      <c r="E20" s="2">
        <v>210</v>
      </c>
      <c r="F20" s="2">
        <v>230</v>
      </c>
      <c r="G20" s="2">
        <v>260</v>
      </c>
      <c r="H20" s="2">
        <v>255</v>
      </c>
      <c r="I20" s="2">
        <v>405</v>
      </c>
      <c r="J20" s="26">
        <v>425</v>
      </c>
    </row>
    <row r="21" spans="2:10" x14ac:dyDescent="0.2">
      <c r="B21" s="11" t="s">
        <v>13</v>
      </c>
      <c r="C21" s="2">
        <v>30</v>
      </c>
      <c r="D21" s="2">
        <v>30</v>
      </c>
      <c r="E21" s="2">
        <v>30</v>
      </c>
      <c r="F21" s="2">
        <v>30</v>
      </c>
      <c r="G21" s="2">
        <v>30</v>
      </c>
      <c r="H21" s="2">
        <v>30</v>
      </c>
      <c r="I21" s="2">
        <v>30</v>
      </c>
      <c r="J21" s="26">
        <v>30</v>
      </c>
    </row>
    <row r="22" spans="2:10" x14ac:dyDescent="0.2">
      <c r="B22" s="13" t="s">
        <v>14</v>
      </c>
      <c r="C22" s="3">
        <v>200</v>
      </c>
      <c r="D22" s="3">
        <v>240</v>
      </c>
      <c r="E22" s="3">
        <v>240</v>
      </c>
      <c r="F22" s="3">
        <v>260</v>
      </c>
      <c r="G22" s="3">
        <v>290</v>
      </c>
      <c r="H22" s="3">
        <v>285</v>
      </c>
      <c r="I22" s="3">
        <v>435</v>
      </c>
      <c r="J22" s="28">
        <v>455</v>
      </c>
    </row>
    <row r="23" spans="2:10" x14ac:dyDescent="0.2">
      <c r="B23" s="11" t="s">
        <v>15</v>
      </c>
      <c r="C23" s="2">
        <v>36</v>
      </c>
      <c r="D23" s="2">
        <v>44</v>
      </c>
      <c r="E23" s="2">
        <v>44</v>
      </c>
      <c r="F23" s="2">
        <v>47</v>
      </c>
      <c r="G23" s="2">
        <v>53</v>
      </c>
      <c r="H23" s="2">
        <v>52</v>
      </c>
      <c r="I23" s="2">
        <v>79</v>
      </c>
      <c r="J23" s="26">
        <v>82</v>
      </c>
    </row>
    <row r="24" spans="2:10" ht="27.75" x14ac:dyDescent="0.2">
      <c r="B24" s="14" t="s">
        <v>16</v>
      </c>
      <c r="C24" s="3">
        <v>236</v>
      </c>
      <c r="D24" s="3">
        <v>284</v>
      </c>
      <c r="E24" s="3">
        <v>284</v>
      </c>
      <c r="F24" s="3">
        <v>307</v>
      </c>
      <c r="G24" s="3">
        <v>343</v>
      </c>
      <c r="H24" s="3">
        <v>337</v>
      </c>
      <c r="I24" s="3">
        <v>514</v>
      </c>
      <c r="J24" s="28">
        <v>537</v>
      </c>
    </row>
    <row r="25" spans="2:10" x14ac:dyDescent="0.2">
      <c r="B25" s="11" t="s">
        <v>37</v>
      </c>
      <c r="C25" s="4" t="s">
        <v>38</v>
      </c>
      <c r="D25" s="4" t="s">
        <v>38</v>
      </c>
      <c r="E25" s="4" t="s">
        <v>38</v>
      </c>
      <c r="F25" s="4" t="s">
        <v>38</v>
      </c>
      <c r="G25" s="4" t="s">
        <v>38</v>
      </c>
      <c r="H25" s="4" t="s">
        <v>39</v>
      </c>
      <c r="I25" s="4" t="s">
        <v>39</v>
      </c>
      <c r="J25" s="29" t="s">
        <v>39</v>
      </c>
    </row>
    <row r="26" spans="2:10" ht="29.1" customHeight="1" thickBot="1" x14ac:dyDescent="0.25">
      <c r="B26" s="32" t="s">
        <v>28</v>
      </c>
      <c r="C26" s="46" t="s">
        <v>54</v>
      </c>
      <c r="D26" s="47"/>
      <c r="E26" s="47"/>
      <c r="F26" s="48"/>
      <c r="G26" s="33" t="s">
        <v>41</v>
      </c>
      <c r="H26" s="46" t="s">
        <v>42</v>
      </c>
      <c r="I26" s="47"/>
      <c r="J26" s="49"/>
    </row>
  </sheetData>
  <mergeCells count="15">
    <mergeCell ref="N2:S2"/>
    <mergeCell ref="N3:S3"/>
    <mergeCell ref="O4:S4"/>
    <mergeCell ref="O5:S5"/>
    <mergeCell ref="C26:F26"/>
    <mergeCell ref="H26:J26"/>
    <mergeCell ref="C11:F11"/>
    <mergeCell ref="H11:L11"/>
    <mergeCell ref="B2:L2"/>
    <mergeCell ref="B16:J16"/>
    <mergeCell ref="O10:S10"/>
    <mergeCell ref="O6:S6"/>
    <mergeCell ref="O7:S7"/>
    <mergeCell ref="O8:S8"/>
    <mergeCell ref="O9:S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pattnaik</dc:creator>
  <cp:lastModifiedBy>prabhat pattnaik</cp:lastModifiedBy>
  <dcterms:created xsi:type="dcterms:W3CDTF">2015-06-05T18:17:20Z</dcterms:created>
  <dcterms:modified xsi:type="dcterms:W3CDTF">2025-02-22T06:40:48Z</dcterms:modified>
</cp:coreProperties>
</file>